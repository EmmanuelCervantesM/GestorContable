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ntador\Pruebas\Plantilla Ejemplo\"/>
    </mc:Choice>
  </mc:AlternateContent>
  <xr:revisionPtr revIDLastSave="0" documentId="13_ncr:1_{19E7DA36-5BEC-4756-B672-4C5A8ABDCBAE}" xr6:coauthVersionLast="47" xr6:coauthVersionMax="47" xr10:uidLastSave="{00000000-0000-0000-0000-000000000000}"/>
  <bookViews>
    <workbookView xWindow="1560" yWindow="1560" windowWidth="15375" windowHeight="7785" xr2:uid="{6ABFC6CB-095B-4185-B39D-046E00DEABE2}"/>
  </bookViews>
  <sheets>
    <sheet name="Timbrado" sheetId="1" r:id="rId1"/>
    <sheet name="Percepciones" sheetId="2" r:id="rId2"/>
    <sheet name="Deducciones" sheetId="3" r:id="rId3"/>
    <sheet name="TipoOtroPago" sheetId="4" r:id="rId4"/>
    <sheet name="TipoIncapacidad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7" i="5" l="1"/>
  <c r="F8" i="5"/>
  <c r="F9" i="5"/>
  <c r="F6" i="5"/>
  <c r="F7" i="4"/>
  <c r="F8" i="4"/>
  <c r="F9" i="4"/>
  <c r="F10" i="4"/>
  <c r="F11" i="4"/>
  <c r="F12" i="4"/>
  <c r="F13" i="4"/>
  <c r="F14" i="4"/>
  <c r="F15" i="4"/>
  <c r="F6" i="4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6" i="3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6" i="2"/>
</calcChain>
</file>

<file path=xl/sharedStrings.xml><?xml version="1.0" encoding="utf-8"?>
<sst xmlns="http://schemas.openxmlformats.org/spreadsheetml/2006/main" count="294" uniqueCount="261">
  <si>
    <t>RFC PATRONAL:</t>
  </si>
  <si>
    <t>OBLIGATORIO</t>
  </si>
  <si>
    <t>REGISTRO PATRONAL:</t>
  </si>
  <si>
    <t>TIPO DE NÓMINA:</t>
  </si>
  <si>
    <t>FECHA DE PAGO:</t>
  </si>
  <si>
    <t>FECHA INICIAL DE PAGO:</t>
  </si>
  <si>
    <t>FECHA FINAL DE PAGO:</t>
  </si>
  <si>
    <t>NÚMERO DE DÍAS PAGADOS:</t>
  </si>
  <si>
    <t>ORIGEN DEL RECURSO:</t>
  </si>
  <si>
    <t>No. EMPLEADO</t>
  </si>
  <si>
    <t>NOMBRE (S)DEL TRABAJADOR</t>
  </si>
  <si>
    <t>AP PATERNO</t>
  </si>
  <si>
    <t>AP MATERNO</t>
  </si>
  <si>
    <t>PERCEPCIONES</t>
  </si>
  <si>
    <t>DEDUCCIONES</t>
  </si>
  <si>
    <t>OTROS INGRESOS</t>
  </si>
  <si>
    <t>INCAPACIDAD</t>
  </si>
  <si>
    <t>TIPO DE PERCEPCIÓN</t>
  </si>
  <si>
    <t>CLAVE</t>
  </si>
  <si>
    <t>CONCEPTO</t>
  </si>
  <si>
    <t>IMPORTE GRAVADO</t>
  </si>
  <si>
    <t>IMPORTE EXENTO</t>
  </si>
  <si>
    <t>TIPO DE DEDUCCIÓN</t>
  </si>
  <si>
    <t xml:space="preserve">IMPORTE </t>
  </si>
  <si>
    <t>TIPO DE OTRO PAGO</t>
  </si>
  <si>
    <t>NO. DE DÍAS</t>
  </si>
  <si>
    <t>TIPO</t>
  </si>
  <si>
    <t>PERIODICIDAD PAGO:</t>
  </si>
  <si>
    <t>NÓMINA:</t>
  </si>
  <si>
    <t>DATO ADMINISTRATIVO</t>
  </si>
  <si>
    <t>CLAVE CATALOGO SAT</t>
  </si>
  <si>
    <t>CONCEPTO CATALOGO SAT</t>
  </si>
  <si>
    <t>ISR</t>
  </si>
  <si>
    <t>Ingresos asimilados a salarios</t>
  </si>
  <si>
    <t>Catálogo de tipos de percepciones.</t>
  </si>
  <si>
    <t>Versión</t>
  </si>
  <si>
    <t>Revisión</t>
  </si>
  <si>
    <t>Fecha de publicación</t>
  </si>
  <si>
    <t>c_TipoPercepcion</t>
  </si>
  <si>
    <t>Descripción</t>
  </si>
  <si>
    <t>Fecha inicio de vigencia</t>
  </si>
  <si>
    <t>Fecha fin de vigencia</t>
  </si>
  <si>
    <t>Sueldos, Salarios  Rayas y Jornales</t>
  </si>
  <si>
    <t>Gratificación Anual (Aguinaldo)</t>
  </si>
  <si>
    <t>Participación de los Trabajadores en las Utilidades PTU</t>
  </si>
  <si>
    <t>Reembolso de Gastos Médicos Dentales y Hospitalarios</t>
  </si>
  <si>
    <t>Fondo de Ahorro</t>
  </si>
  <si>
    <t>Caja de ahorro</t>
  </si>
  <si>
    <t>Contribuciones a Cargo del Trabajador Pagadas por el Patrón</t>
  </si>
  <si>
    <t>Premios por puntualidad</t>
  </si>
  <si>
    <t>Prima de Seguro de vida</t>
  </si>
  <si>
    <t>Seguro de Gastos Médicos Mayores</t>
  </si>
  <si>
    <t>Cuotas Sindicales Pagadas por el Patrón</t>
  </si>
  <si>
    <t>Subsidios por incapacidad</t>
  </si>
  <si>
    <t>Becas para trabajadores y/o hijos</t>
  </si>
  <si>
    <t>Horas extra</t>
  </si>
  <si>
    <t>Prima dominical</t>
  </si>
  <si>
    <t>Prima vacacional</t>
  </si>
  <si>
    <t>Prima por antigüedad</t>
  </si>
  <si>
    <t>Pagos por separación</t>
  </si>
  <si>
    <t>Seguro de retiro</t>
  </si>
  <si>
    <t>Indemnizaciones</t>
  </si>
  <si>
    <t>Reembolso por funeral</t>
  </si>
  <si>
    <t>Cuotas de seguridad social pagadas por el patrón</t>
  </si>
  <si>
    <t>Comisiones</t>
  </si>
  <si>
    <t>Vales de despensa</t>
  </si>
  <si>
    <t>Vales de restaurante</t>
  </si>
  <si>
    <t>Vales de gasolina</t>
  </si>
  <si>
    <t>Vales de ropa</t>
  </si>
  <si>
    <t>Ayuda para renta</t>
  </si>
  <si>
    <t>Ayuda para artículos escolares</t>
  </si>
  <si>
    <t>Ayuda para anteojos</t>
  </si>
  <si>
    <t>Ayuda para transporte</t>
  </si>
  <si>
    <t>Ayuda para gastos de funeral</t>
  </si>
  <si>
    <t>Otros ingresos por salarios</t>
  </si>
  <si>
    <t>Jubilaciones, pensiones o haberes de retiro</t>
  </si>
  <si>
    <t>Jubilaciones, pensiones o haberes de retiro en parcialidades</t>
  </si>
  <si>
    <t>Ingresos en acciones o títulos valor que representan bienes</t>
  </si>
  <si>
    <r>
      <t xml:space="preserve">Alimentación </t>
    </r>
    <r>
      <rPr>
        <sz val="11"/>
        <color indexed="8"/>
        <rFont val="Arial"/>
        <family val="2"/>
      </rPr>
      <t>diferentes a los establecidos en el Art 94 último párrafo LISR</t>
    </r>
  </si>
  <si>
    <t>Habitación</t>
  </si>
  <si>
    <t>Premios por asistencia</t>
  </si>
  <si>
    <t>Viáticos</t>
  </si>
  <si>
    <t>Pagos por gratificaciones, primas, compensaciones, recompensas u otros a extrabajadores derivados de jubilación en parcialidades</t>
  </si>
  <si>
    <t>Pagos que se realicen a extrabajadores que obtengan una jubilación en parcialidades derivados de la ejecución de resoluciones judicial o de un laudo</t>
  </si>
  <si>
    <t>Pagos que se realicen a extrabajadores que obtengan una jubilación en una sola exhibición derivados de la ejecución de resoluciones judicial o de un laudo</t>
  </si>
  <si>
    <t>Catálogo de tipos de deducciones.</t>
  </si>
  <si>
    <t>c_TipoDeduccion</t>
  </si>
  <si>
    <t>Seguridad social</t>
  </si>
  <si>
    <t>Aportaciones a retiro, cesantía en edad avanzada y vejez.</t>
  </si>
  <si>
    <t>Otros</t>
  </si>
  <si>
    <t>Aportaciones a Fondo de vivienda</t>
  </si>
  <si>
    <t>Descuento por incapacidad</t>
  </si>
  <si>
    <t>Pensión alimenticia</t>
  </si>
  <si>
    <t>Renta</t>
  </si>
  <si>
    <t>Préstamos provenientes del Fondo Nacional de la Vivienda para los Trabajadores</t>
  </si>
  <si>
    <t>Pago por crédito de vivienda</t>
  </si>
  <si>
    <t>Pago de abonos INFONACOT</t>
  </si>
  <si>
    <t>Anticipo de salarios</t>
  </si>
  <si>
    <t>Pagos hechos con exceso al trabajador</t>
  </si>
  <si>
    <t>Errores</t>
  </si>
  <si>
    <t>Pérdidas</t>
  </si>
  <si>
    <t>Averías</t>
  </si>
  <si>
    <t>Adquisición de artículos producidos por la empresa o establecimiento</t>
  </si>
  <si>
    <t>Cuotas para la constitución y fomento de sociedades cooperativas y de cajas de ahorro</t>
  </si>
  <si>
    <t>Cuotas sindicales</t>
  </si>
  <si>
    <t>Ausencia (Ausentismo)</t>
  </si>
  <si>
    <t>Cuotas obrero patronales</t>
  </si>
  <si>
    <t>Impuestos Locales</t>
  </si>
  <si>
    <t>Aportaciones voluntarias</t>
  </si>
  <si>
    <t>Ajuste en Gratificación Anual (Aguinaldo) Exento</t>
  </si>
  <si>
    <t>Ajuste en Gratificación Anual (Aguinaldo) Gravado</t>
  </si>
  <si>
    <t>Ajuste en Participación de los Trabajadores en las Utilidades PTU Exento</t>
  </si>
  <si>
    <t>Ajuste en Participación de los Trabajadores en las Utilidades PTU Gravado</t>
  </si>
  <si>
    <t>Ajuste en Reembolso de Gastos Médicos Dentales y Hospitalarios Exento</t>
  </si>
  <si>
    <t>Ajuste en Fondo de ahorro Exento</t>
  </si>
  <si>
    <t>Ajuste en Caja de ahorro Exento</t>
  </si>
  <si>
    <t>Ajuste en Contribuciones a Cargo del Trabajador Pagadas por el Patrón Exento</t>
  </si>
  <si>
    <t>Ajuste en Premios por puntualidad Gravado</t>
  </si>
  <si>
    <t>Ajuste en Prima de Seguro de vida Exento</t>
  </si>
  <si>
    <t>Ajuste en Seguro de Gastos Médicos Mayores Exento</t>
  </si>
  <si>
    <t>Ajuste en Cuotas Sindicales Pagadas por el Patrón Exento</t>
  </si>
  <si>
    <t>Ajuste en Subsidios por incapacidad Exento</t>
  </si>
  <si>
    <t>Ajuste en Becas para trabajadores y/o hijos Exento</t>
  </si>
  <si>
    <t>Ajuste en Horas extra Exento</t>
  </si>
  <si>
    <t>Ajuste en Horas extra Gravado</t>
  </si>
  <si>
    <t>Ajuste en Prima dominical Exento</t>
  </si>
  <si>
    <t>Ajuste en Prima dominical Gravado</t>
  </si>
  <si>
    <t>Ajuste en Prima vacacional Exento</t>
  </si>
  <si>
    <t>Ajuste en Prima vacacional Gravado</t>
  </si>
  <si>
    <t>Ajuste en Prima por antigüedad Exento</t>
  </si>
  <si>
    <t>Ajuste en Prima por antigüedad Gravado</t>
  </si>
  <si>
    <t>Ajuste en Pagos por separación Exento</t>
  </si>
  <si>
    <t>Ajuste en Pagos por separación Gravado</t>
  </si>
  <si>
    <t>Ajuste en Seguro de retiro Exento</t>
  </si>
  <si>
    <t>Ajuste en Indemnizaciones Exento</t>
  </si>
  <si>
    <t>Ajuste en Indemnizaciones Gravado</t>
  </si>
  <si>
    <t>Ajuste en Reembolso por funeral Exento</t>
  </si>
  <si>
    <t>Ajuste en Cuotas de seguridad social pagadas por el patrón Exento</t>
  </si>
  <si>
    <t>Ajuste en Comisiones Gravado</t>
  </si>
  <si>
    <t>Ajuste en Vales de despensa Exento</t>
  </si>
  <si>
    <t>Ajuste en Vales de restaurante Exento</t>
  </si>
  <si>
    <t>Ajuste en Vales de gasolina Exento</t>
  </si>
  <si>
    <t>Ajuste en Vales de ropa Exento</t>
  </si>
  <si>
    <t>Ajuste en Ayuda para renta Exento</t>
  </si>
  <si>
    <t>Ajuste en Ayuda para artículos escolares Exento</t>
  </si>
  <si>
    <t>Ajuste en Ayuda para anteojos Exento</t>
  </si>
  <si>
    <t>Ajuste en Ayuda para transporte Exento</t>
  </si>
  <si>
    <t>Ajuste en Ayuda para gastos de funeral Exento</t>
  </si>
  <si>
    <t>Ajuste en Otros ingresos por salarios Exento</t>
  </si>
  <si>
    <t>Ajuste en Otros ingresos por salarios Gravado</t>
  </si>
  <si>
    <t xml:space="preserve">Ajuste en Jubilaciones, pensiones o haberes de retiro en una sola exhibición Exento </t>
  </si>
  <si>
    <t>Ajuste en Jubilaciones, pensiones o haberes de retiro en una sola exhibición Gravado</t>
  </si>
  <si>
    <t>Ajuste en Pagos por separación Acumulable</t>
  </si>
  <si>
    <t>Ajuste en Pagos por separación No acumulable</t>
  </si>
  <si>
    <t>Ajuste en Jubilaciones, pensiones o haberes de retiro en parcialidades Exento</t>
  </si>
  <si>
    <t>Ajuste en Jubilaciones, pensiones o haberes de retiro en parcialidades Gravado</t>
  </si>
  <si>
    <t>Ajuste en Subsidio para el empleo (efectivamente entregado al trabajador)</t>
  </si>
  <si>
    <t>Ajuste en Ingresos en acciones o títulos valor que representan bienes Exento</t>
  </si>
  <si>
    <t>Ajuste en Ingresos en acciones o títulos valor que representan bienes Gravado</t>
  </si>
  <si>
    <t>Ajuste en Alimentación Exento</t>
  </si>
  <si>
    <t>Ajuste en Alimentación Gravado</t>
  </si>
  <si>
    <t>Ajuste en Habitación Exento</t>
  </si>
  <si>
    <t>Ajuste en Habitación Gravado</t>
  </si>
  <si>
    <t>Ajuste en Premios por asistencia</t>
  </si>
  <si>
    <t>Ajuste en Pagos distintos a los listados y que no deben considerarse como ingreso por sueldos, salarios o ingresos asimilados.</t>
  </si>
  <si>
    <t>Ajuste en Viáticos gravados</t>
  </si>
  <si>
    <t>Ajuste en Viáticos (entregados al trabajador)</t>
  </si>
  <si>
    <t>082</t>
  </si>
  <si>
    <t>Ajuste en Fondo de ahorro Gravado</t>
  </si>
  <si>
    <t>083</t>
  </si>
  <si>
    <t>Ajuste en Caja de ahorro Gravado</t>
  </si>
  <si>
    <t>084</t>
  </si>
  <si>
    <t>Ajuste en Prima de Seguro de vida Gravado</t>
  </si>
  <si>
    <t>085</t>
  </si>
  <si>
    <t>Ajuste en Seguro de Gastos Médicos Mayores Gravado</t>
  </si>
  <si>
    <t>086</t>
  </si>
  <si>
    <t>Ajuste en Subsidios por incapacidad Gravado</t>
  </si>
  <si>
    <t>087</t>
  </si>
  <si>
    <t>Ajuste en Becas para trabajadores y/o hijos Gravado</t>
  </si>
  <si>
    <t>088</t>
  </si>
  <si>
    <t>Ajuste en Seguro de retiro Gravado</t>
  </si>
  <si>
    <t>089</t>
  </si>
  <si>
    <t>Ajuste en Vales de despensa Gravado</t>
  </si>
  <si>
    <t>090</t>
  </si>
  <si>
    <t>Ajuste en Vales de restaurante Gravado</t>
  </si>
  <si>
    <t>091</t>
  </si>
  <si>
    <t>Ajuste en Vales de gasolina Gravado</t>
  </si>
  <si>
    <t>092</t>
  </si>
  <si>
    <t>Ajuste en Vales de ropa Gravado</t>
  </si>
  <si>
    <t>093</t>
  </si>
  <si>
    <t>Ajuste en Ayuda para renta Gravado</t>
  </si>
  <si>
    <t>094</t>
  </si>
  <si>
    <t>Ajuste en Ayuda para artículos escolares Gravado</t>
  </si>
  <si>
    <t>095</t>
  </si>
  <si>
    <t>Ajuste en Ayuda para anteojos Gravado</t>
  </si>
  <si>
    <t>096</t>
  </si>
  <si>
    <t>Ajuste en Ayuda para transporte Gravado</t>
  </si>
  <si>
    <t>097</t>
  </si>
  <si>
    <t>Ajuste en Ayuda para gastos de funeral Gravado</t>
  </si>
  <si>
    <t>098</t>
  </si>
  <si>
    <t>Ajuste a ingresos asimilados a salarios gravados</t>
  </si>
  <si>
    <t>099</t>
  </si>
  <si>
    <t>Ajuste a ingresos por sueldos y salarios gravados</t>
  </si>
  <si>
    <t>Ajuste en Viáticos exentos</t>
  </si>
  <si>
    <t>ISR Retenido de ejercicio anterior</t>
  </si>
  <si>
    <t>Ajuste a pagos por gratificaciones, primas, compensaciones, recompensas u otros a extrabajadores derivados de jubilación en parcialidades, gravados</t>
  </si>
  <si>
    <t>Ajuste a pagos que se realicen a extrabajadores que obtengan una jubilación en parcialidades derivados de la ejecución de una resolución judicial o de un laudo gravados</t>
  </si>
  <si>
    <t>Ajuste a pagos que se realicen a extrabajadores que obtengan una jubilación en parcialidades derivados de la ejecución de una resolución judicial o de un laudo exentos</t>
  </si>
  <si>
    <t>Ajuste a pagos que se realicen a extrabajadores que obtengan una jubilación en una sola exhibición derivados de la ejecución de una resolución judicial o de un laudo gravados</t>
  </si>
  <si>
    <t>Ajuste a pagos que se realicen a extrabajadores que obtengan una jubilación en una sola exhibición derivados de la ejecución de una resolución judicial o de un laudo exentos</t>
  </si>
  <si>
    <t xml:space="preserve">Ajuste al Subsidio Causado </t>
  </si>
  <si>
    <t>Catálogo de otro tipo de pago.</t>
  </si>
  <si>
    <t xml:space="preserve"> c_TipoOtroPago</t>
  </si>
  <si>
    <t>Reintegro de ISR pagado en exceso (siempre que no haya sido enterado al SAT).</t>
  </si>
  <si>
    <t>Subsidio para el empleo (efectivamente entregado al trabajador).</t>
  </si>
  <si>
    <t>Viáticos (entregados al trabajador).</t>
  </si>
  <si>
    <t>Aplicación de saldo a favor por compensación anual.</t>
  </si>
  <si>
    <t>Reintegro de ISR retenido en exceso de ejercicio anterior (siempre que no haya sido enterado al SAT).</t>
  </si>
  <si>
    <t>Alimentos en bienes (Servicios de comedor y comida) Art 94 último párrafo LISR.</t>
  </si>
  <si>
    <t>ISR ajustado por subsidio.</t>
  </si>
  <si>
    <t>Subsidio efectivamente entregado que no correspondía (Aplica sólo cuando haya ajuste al cierre de mes en relación con el Apéndice 7 de la guía de llenado de nómina).</t>
  </si>
  <si>
    <t>Reembolso de descuentos efectuados para el crédito de vivienda.</t>
  </si>
  <si>
    <t>Pagos distintos a los listados y que no deben considerarse como ingreso por sueldos, salarios o ingresos asimilados.</t>
  </si>
  <si>
    <t>Catálogo del tipo de incapacidad.</t>
  </si>
  <si>
    <t>c_TipoIncapacidad</t>
  </si>
  <si>
    <t>04</t>
  </si>
  <si>
    <t>2</t>
  </si>
  <si>
    <t>No. Empleado</t>
  </si>
  <si>
    <t>Riesgo de trabajo</t>
  </si>
  <si>
    <t>Enfermedad en general</t>
  </si>
  <si>
    <t>Maternidad</t>
  </si>
  <si>
    <t>Licencia por cuidados médicos de hijos diagnosticados con cáncer</t>
  </si>
  <si>
    <t>Ingresos federales</t>
  </si>
  <si>
    <t xml:space="preserve">OMAR </t>
  </si>
  <si>
    <t>MELENDEZ</t>
  </si>
  <si>
    <t>POLVO</t>
  </si>
  <si>
    <t>Sueldo</t>
  </si>
  <si>
    <t>15</t>
  </si>
  <si>
    <t>Quincenal</t>
  </si>
  <si>
    <t>1 - Sueldos, Salarios  Rayas y Jornales</t>
  </si>
  <si>
    <t>2 - ISR</t>
  </si>
  <si>
    <t>Nómina Ordinaria</t>
  </si>
  <si>
    <t>3 - Aportaciones a retiro, cesantía en edad avanzada y vejez.</t>
  </si>
  <si>
    <t>1 - Seguridad social</t>
  </si>
  <si>
    <t>2 - Subsidio para el empleo (efectivamente entregado al trabajador).</t>
  </si>
  <si>
    <t>ESCUELA DE ENFERMERIA FLORENCIA NIGHTINGALE TLAXCALA-TLAX</t>
  </si>
  <si>
    <t>3</t>
  </si>
  <si>
    <t>JUANA</t>
  </si>
  <si>
    <t>MENESES</t>
  </si>
  <si>
    <t>MORALES</t>
  </si>
  <si>
    <t>ISR Sueldos y salarios</t>
  </si>
  <si>
    <t>IMSS</t>
  </si>
  <si>
    <t>Retencion RCV</t>
  </si>
  <si>
    <t>Subsidio al empleo</t>
  </si>
  <si>
    <t>46 - Ingresos asimilados a salarios</t>
  </si>
  <si>
    <t>Retención ISR asimilados a salarios</t>
  </si>
  <si>
    <t>F1318728103</t>
  </si>
  <si>
    <t>01/01/2026</t>
  </si>
  <si>
    <t>16/01/2026</t>
  </si>
  <si>
    <t>15/01/2026</t>
  </si>
  <si>
    <t>Nomina Ejemplo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</si>
</sst>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"/>
    <numFmt numFmtId="165" formatCode="0.0"/>
    <numFmt numFmtId="166" formatCode="dd/mm/yyyy;@"/>
    <numFmt numFmtId="167" formatCode="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name val="MS Sans Serif"/>
      <family val="2"/>
    </font>
    <font>
      <sz val="11"/>
      <name val="Arial"/>
      <family val="2"/>
    </font>
    <font>
      <sz val="11"/>
      <color indexed="8"/>
      <name val="Arial"/>
      <family val="2"/>
    </font>
    <font>
      <sz val="11"/>
      <color theme="1" tint="0.499984740745262"/>
      <name val="Arial"/>
      <family val="2"/>
    </font>
    <font>
      <sz val="11"/>
      <color rgb="FF000000"/>
      <name val="Arial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88">
    <xf numFmtId="0" fontId="0" fillId="0" borderId="0" xfId="0"/>
    <xf numFmtId="49" fontId="0" fillId="0" borderId="0" xfId="0" applyNumberFormat="1"/>
    <xf numFmtId="0" fontId="0" fillId="0" borderId="0" xfId="0" applyFill="1"/>
    <xf numFmtId="49" fontId="0" fillId="0" borderId="0" xfId="0" applyNumberFormat="1" applyFill="1"/>
    <xf numFmtId="49" fontId="0" fillId="0" borderId="0" xfId="0" applyNumberFormat="1" applyAlignment="1">
      <alignment wrapText="1"/>
    </xf>
    <xf numFmtId="164" fontId="4" fillId="0" borderId="0" xfId="0" applyNumberFormat="1" applyFont="1"/>
    <xf numFmtId="0" fontId="4" fillId="0" borderId="0" xfId="0" applyFont="1"/>
    <xf numFmtId="0" fontId="6" fillId="4" borderId="3" xfId="1" applyFont="1" applyFill="1" applyBorder="1" applyAlignment="1">
      <alignment horizontal="center" vertical="center" wrapText="1"/>
    </xf>
    <xf numFmtId="165" fontId="6" fillId="0" borderId="2" xfId="1" applyNumberFormat="1" applyFont="1" applyBorder="1" applyAlignment="1">
      <alignment horizontal="center" vertical="center" wrapText="1"/>
    </xf>
    <xf numFmtId="14" fontId="6" fillId="0" borderId="2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4" xfId="1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/>
    <xf numFmtId="0" fontId="6" fillId="4" borderId="3" xfId="1" applyFont="1" applyFill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4" fillId="0" borderId="0" xfId="0" applyFont="1" applyAlignment="1"/>
    <xf numFmtId="0" fontId="4" fillId="4" borderId="4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4" fontId="4" fillId="0" borderId="1" xfId="0" applyNumberFormat="1" applyFont="1" applyBorder="1" applyAlignment="1">
      <alignment vertical="center"/>
    </xf>
    <xf numFmtId="164" fontId="6" fillId="0" borderId="1" xfId="0" applyNumberFormat="1" applyFont="1" applyBorder="1" applyAlignment="1">
      <alignment vertical="center"/>
    </xf>
    <xf numFmtId="0" fontId="0" fillId="0" borderId="0" xfId="0" applyAlignment="1"/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/>
    </xf>
    <xf numFmtId="166" fontId="6" fillId="0" borderId="2" xfId="1" applyNumberFormat="1" applyFont="1" applyBorder="1" applyAlignment="1">
      <alignment horizontal="center" vertical="center"/>
    </xf>
    <xf numFmtId="165" fontId="6" fillId="0" borderId="2" xfId="1" applyNumberFormat="1" applyFont="1" applyBorder="1" applyAlignment="1">
      <alignment horizontal="center" vertical="center"/>
    </xf>
    <xf numFmtId="14" fontId="6" fillId="0" borderId="2" xfId="1" applyNumberFormat="1" applyFont="1" applyBorder="1" applyAlignment="1">
      <alignment horizontal="center" vertical="center"/>
    </xf>
    <xf numFmtId="164" fontId="4" fillId="0" borderId="0" xfId="0" applyNumberFormat="1" applyFont="1" applyAlignment="1"/>
    <xf numFmtId="0" fontId="6" fillId="4" borderId="4" xfId="1" applyFont="1" applyFill="1" applyBorder="1" applyAlignment="1">
      <alignment horizontal="center" vertical="center"/>
    </xf>
    <xf numFmtId="0" fontId="9" fillId="0" borderId="0" xfId="0" applyFont="1" applyAlignment="1"/>
    <xf numFmtId="16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/>
    <xf numFmtId="164" fontId="6" fillId="0" borderId="1" xfId="0" quotePrefix="1" applyNumberFormat="1" applyFont="1" applyBorder="1" applyAlignment="1">
      <alignment horizontal="center" vertical="center"/>
    </xf>
    <xf numFmtId="0" fontId="4" fillId="0" borderId="1" xfId="0" applyFont="1" applyBorder="1" applyAlignment="1"/>
    <xf numFmtId="164" fontId="6" fillId="0" borderId="2" xfId="1" applyNumberFormat="1" applyFont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/>
    </xf>
    <xf numFmtId="0" fontId="4" fillId="4" borderId="7" xfId="0" applyFont="1" applyFill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49" fontId="0" fillId="0" borderId="0" xfId="0" applyNumberFormat="1" applyAlignment="1">
      <alignment vertical="center" wrapText="1"/>
    </xf>
    <xf numFmtId="49" fontId="4" fillId="0" borderId="0" xfId="0" applyNumberFormat="1" applyFont="1" applyBorder="1" applyAlignment="1">
      <alignment vertical="center"/>
    </xf>
    <xf numFmtId="49" fontId="0" fillId="0" borderId="1" xfId="0" applyNumberFormat="1" applyBorder="1"/>
    <xf numFmtId="49" fontId="0" fillId="0" borderId="1" xfId="0" applyNumberFormat="1" applyFill="1" applyBorder="1"/>
    <xf numFmtId="49" fontId="0" fillId="0" borderId="0" xfId="0" applyNumberFormat="1" applyBorder="1"/>
    <xf numFmtId="49" fontId="1" fillId="0" borderId="0" xfId="0" applyNumberFormat="1" applyFont="1" applyFill="1" applyAlignment="1">
      <alignment horizontal="left"/>
    </xf>
    <xf numFmtId="0" fontId="0" fillId="0" borderId="1" xfId="0" applyFill="1" applyBorder="1"/>
    <xf numFmtId="49" fontId="4" fillId="0" borderId="1" xfId="0" applyNumberFormat="1" applyFont="1" applyBorder="1" applyAlignment="1">
      <alignment vertical="center"/>
    </xf>
    <xf numFmtId="49" fontId="1" fillId="5" borderId="1" xfId="0" applyNumberFormat="1" applyFont="1" applyFill="1" applyBorder="1" applyAlignment="1">
      <alignment wrapText="1"/>
    </xf>
    <xf numFmtId="49" fontId="1" fillId="5" borderId="0" xfId="0" applyNumberFormat="1" applyFont="1" applyFill="1" applyAlignment="1">
      <alignment horizontal="left"/>
    </xf>
    <xf numFmtId="49" fontId="0" fillId="0" borderId="0" xfId="0" applyNumberFormat="1" applyFill="1" applyAlignment="1">
      <alignment horizontal="center"/>
    </xf>
    <xf numFmtId="49" fontId="0" fillId="0" borderId="0" xfId="0" applyNumberFormat="1" applyFill="1" applyBorder="1" applyAlignment="1"/>
    <xf numFmtId="49" fontId="1" fillId="5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0" fillId="0" borderId="0" xfId="0" applyNumberFormat="1" applyFill="1" applyBorder="1"/>
    <xf numFmtId="49" fontId="1" fillId="0" borderId="0" xfId="0" applyNumberFormat="1" applyFont="1" applyFill="1" applyBorder="1" applyAlignment="1">
      <alignment horizontal="center" vertical="center" wrapText="1"/>
    </xf>
    <xf numFmtId="2" fontId="0" fillId="0" borderId="1" xfId="0" applyNumberFormat="1" applyFill="1" applyBorder="1"/>
    <xf numFmtId="2" fontId="0" fillId="0" borderId="1" xfId="0" applyNumberFormat="1" applyBorder="1"/>
    <xf numFmtId="2" fontId="0" fillId="0" borderId="0" xfId="0" applyNumberFormat="1"/>
    <xf numFmtId="2" fontId="10" fillId="0" borderId="0" xfId="0" applyNumberFormat="1" applyFont="1"/>
    <xf numFmtId="49" fontId="10" fillId="0" borderId="1" xfId="0" applyNumberFormat="1" applyFont="1" applyFill="1" applyBorder="1"/>
    <xf numFmtId="0" fontId="10" fillId="0" borderId="0" xfId="0" applyFont="1"/>
    <xf numFmtId="49" fontId="1" fillId="2" borderId="1" xfId="0" applyNumberFormat="1" applyFont="1" applyFill="1" applyBorder="1" applyAlignment="1">
      <alignment horizontal="center" vertical="center" wrapText="1"/>
    </xf>
    <xf numFmtId="49" fontId="1" fillId="5" borderId="1" xfId="0" applyNumberFormat="1" applyFont="1" applyFill="1" applyBorder="1" applyAlignment="1">
      <alignment horizontal="center" vertical="center" wrapText="1"/>
    </xf>
    <xf numFmtId="49" fontId="1" fillId="5" borderId="0" xfId="0" applyNumberFormat="1" applyFont="1" applyFill="1" applyAlignment="1">
      <alignment horizontal="center"/>
    </xf>
    <xf numFmtId="2" fontId="0" fillId="0" borderId="0" xfId="0" applyNumberFormat="1" applyFill="1" applyBorder="1"/>
    <xf numFmtId="49" fontId="1" fillId="2" borderId="1" xfId="0" applyNumberFormat="1" applyFont="1" applyFill="1" applyBorder="1" applyAlignment="1">
      <alignment vertical="center" wrapText="1"/>
    </xf>
    <xf numFmtId="49" fontId="1" fillId="5" borderId="1" xfId="0" applyNumberFormat="1" applyFont="1" applyFill="1" applyBorder="1" applyAlignment="1">
      <alignment vertical="center" wrapText="1"/>
    </xf>
    <xf numFmtId="49" fontId="0" fillId="0" borderId="1" xfId="0" applyNumberFormat="1" applyFill="1" applyBorder="1" applyAlignment="1"/>
    <xf numFmtId="49" fontId="0" fillId="0" borderId="1" xfId="0" applyNumberFormat="1" applyBorder="1" applyAlignment="1"/>
    <xf numFmtId="49" fontId="0" fillId="0" borderId="1" xfId="0" applyNumberFormat="1" applyFont="1" applyFill="1" applyBorder="1" applyAlignment="1"/>
    <xf numFmtId="49" fontId="10" fillId="0" borderId="0" xfId="0" applyNumberFormat="1" applyFont="1"/>
    <xf numFmtId="49" fontId="1" fillId="3" borderId="8" xfId="0" applyNumberFormat="1" applyFont="1" applyFill="1" applyBorder="1" applyAlignment="1">
      <alignment horizontal="center" vertical="center" wrapText="1"/>
    </xf>
    <xf numFmtId="49" fontId="1" fillId="3" borderId="9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5" borderId="0" xfId="0" applyNumberFormat="1" applyFont="1" applyFill="1" applyAlignment="1">
      <alignment horizontal="left"/>
    </xf>
    <xf numFmtId="49" fontId="1" fillId="3" borderId="0" xfId="0" applyNumberFormat="1" applyFont="1" applyFill="1" applyAlignment="1">
      <alignment horizontal="left"/>
    </xf>
    <xf numFmtId="49" fontId="1" fillId="5" borderId="1" xfId="0" applyNumberFormat="1" applyFont="1" applyFill="1" applyBorder="1" applyAlignment="1">
      <alignment horizontal="center" vertical="center" wrapText="1"/>
    </xf>
    <xf numFmtId="49" fontId="1" fillId="5" borderId="0" xfId="0" applyNumberFormat="1" applyFont="1" applyFill="1" applyAlignment="1">
      <alignment horizontal="center"/>
    </xf>
    <xf numFmtId="49" fontId="1" fillId="3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5" xfId="0" applyFont="1" applyBorder="1" applyAlignment="1">
      <alignment vertical="center"/>
    </xf>
    <xf numFmtId="0" fontId="8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vertical="center"/>
    </xf>
  </cellXfs>
  <cellStyles count="2">
    <cellStyle name="Normal" xfId="0" builtinId="0"/>
    <cellStyle name="Normal 2 2" xfId="1" xr:uid="{73D336F7-8AB2-4D01-942D-FE7CE4F383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71BBB-4714-4DEA-AB6C-BE84DA670BD5}">
  <dimension ref="A2:Y40"/>
  <sheetViews>
    <sheetView tabSelected="1" zoomScale="85" zoomScaleNormal="85" workbookViewId="0">
      <selection activeCell="D4" sqref="D4"/>
    </sheetView>
  </sheetViews>
  <sheetFormatPr baseColWidth="10" defaultRowHeight="15" x14ac:dyDescent="0.25"/>
  <cols>
    <col min="1" max="1" width="11.42578125" style="1"/>
    <col min="2" max="2" width="15.140625" style="1" customWidth="1"/>
    <col min="3" max="3" width="13.5703125" style="1" customWidth="1"/>
    <col min="4" max="4" width="31.5703125" style="1" customWidth="1"/>
    <col min="5" max="5" width="29.28515625" style="1" customWidth="1"/>
    <col min="6" max="6" width="20" style="1" customWidth="1"/>
    <col min="7" max="7" width="27.28515625" style="1" bestFit="1" customWidth="1"/>
    <col min="8" max="8" width="10.140625" style="1" bestFit="1" customWidth="1"/>
    <col min="9" max="11" width="11.42578125" style="1"/>
    <col min="12" max="12" width="17.140625" style="1" customWidth="1"/>
    <col min="13" max="13" width="32.140625" style="1" bestFit="1" customWidth="1"/>
    <col min="14" max="14" width="9.140625" style="1" bestFit="1" customWidth="1"/>
    <col min="15" max="16" width="11.42578125" style="1"/>
    <col min="17" max="17" width="17.140625" style="1" customWidth="1"/>
    <col min="18" max="18" width="10.7109375" style="1" bestFit="1" customWidth="1"/>
    <col min="19" max="19" width="9.140625" style="1" bestFit="1" customWidth="1"/>
    <col min="20" max="20" width="9.140625" style="1" customWidth="1"/>
    <col min="21" max="21" width="12.28515625" style="1" customWidth="1"/>
    <col min="22" max="22" width="11.7109375" style="1" customWidth="1"/>
    <col min="23" max="23" width="20" style="1" customWidth="1"/>
    <col min="24" max="24" width="9.140625" style="1" bestFit="1" customWidth="1"/>
  </cols>
  <sheetData>
    <row r="2" spans="1:25" x14ac:dyDescent="0.25">
      <c r="A2" s="78" t="s">
        <v>0</v>
      </c>
      <c r="B2" s="78"/>
      <c r="C2" s="43"/>
      <c r="D2" s="45" t="s">
        <v>256</v>
      </c>
      <c r="H2" s="81" t="s">
        <v>1</v>
      </c>
      <c r="I2" s="81"/>
      <c r="J2" s="67"/>
      <c r="K2" s="67"/>
    </row>
    <row r="3" spans="1:25" x14ac:dyDescent="0.25">
      <c r="A3" s="78" t="s">
        <v>2</v>
      </c>
      <c r="B3" s="78"/>
      <c r="D3" s="45" t="s">
        <v>245</v>
      </c>
      <c r="H3" s="54"/>
      <c r="I3" s="54"/>
      <c r="J3" s="54"/>
      <c r="K3" s="54"/>
      <c r="L3" s="54"/>
      <c r="M3" s="54"/>
      <c r="N3" s="54"/>
    </row>
    <row r="4" spans="1:25" x14ac:dyDescent="0.25">
      <c r="A4" s="52" t="s">
        <v>28</v>
      </c>
      <c r="B4" s="52"/>
      <c r="C4" s="4"/>
      <c r="D4" s="45" t="s">
        <v>260</v>
      </c>
      <c r="E4" s="74"/>
      <c r="H4" s="53"/>
      <c r="I4" s="53"/>
      <c r="J4" s="53"/>
      <c r="K4" s="53"/>
      <c r="L4" s="53"/>
      <c r="M4" s="53"/>
      <c r="N4" s="53"/>
    </row>
    <row r="6" spans="1:25" x14ac:dyDescent="0.25">
      <c r="A6" s="78" t="s">
        <v>3</v>
      </c>
      <c r="B6" s="78"/>
      <c r="D6" s="45" t="s">
        <v>241</v>
      </c>
    </row>
    <row r="7" spans="1:25" x14ac:dyDescent="0.25">
      <c r="A7" s="78" t="s">
        <v>4</v>
      </c>
      <c r="B7" s="78"/>
      <c r="D7" s="45" t="s">
        <v>258</v>
      </c>
      <c r="I7" s="3"/>
      <c r="J7" s="3"/>
      <c r="K7" s="3"/>
    </row>
    <row r="8" spans="1:25" x14ac:dyDescent="0.25">
      <c r="A8" s="52" t="s">
        <v>5</v>
      </c>
      <c r="B8" s="52"/>
      <c r="D8" s="45" t="s">
        <v>257</v>
      </c>
    </row>
    <row r="9" spans="1:25" x14ac:dyDescent="0.25">
      <c r="A9" s="78" t="s">
        <v>6</v>
      </c>
      <c r="B9" s="78"/>
      <c r="D9" s="45" t="s">
        <v>259</v>
      </c>
    </row>
    <row r="10" spans="1:25" x14ac:dyDescent="0.25">
      <c r="A10" s="78" t="s">
        <v>7</v>
      </c>
      <c r="B10" s="78"/>
      <c r="C10" s="3"/>
      <c r="D10" s="46" t="s">
        <v>237</v>
      </c>
      <c r="F10" s="3"/>
      <c r="G10" s="3"/>
      <c r="H10" s="3"/>
      <c r="I10" s="3"/>
      <c r="J10" s="3"/>
      <c r="K10" s="3"/>
      <c r="L10" s="3"/>
      <c r="M10" s="3"/>
    </row>
    <row r="11" spans="1:25" x14ac:dyDescent="0.25">
      <c r="A11" s="52" t="s">
        <v>27</v>
      </c>
      <c r="B11" s="52"/>
      <c r="C11" s="3"/>
      <c r="D11" s="46" t="s">
        <v>238</v>
      </c>
      <c r="F11" s="3"/>
      <c r="G11" s="3"/>
      <c r="H11" s="3"/>
      <c r="I11" s="3"/>
      <c r="J11" s="3"/>
      <c r="K11" s="3"/>
      <c r="L11" s="3"/>
      <c r="M11" s="3"/>
    </row>
    <row r="12" spans="1:25" x14ac:dyDescent="0.25">
      <c r="A12" s="79" t="s">
        <v>8</v>
      </c>
      <c r="B12" s="79"/>
      <c r="D12" s="45" t="s">
        <v>232</v>
      </c>
    </row>
    <row r="13" spans="1:25" x14ac:dyDescent="0.25">
      <c r="A13" s="48"/>
      <c r="B13" s="48"/>
      <c r="D13" s="47"/>
    </row>
    <row r="14" spans="1:25" x14ac:dyDescent="0.25">
      <c r="E14" s="77" t="s">
        <v>13</v>
      </c>
      <c r="F14" s="77"/>
      <c r="G14" s="77"/>
      <c r="H14" s="77"/>
      <c r="I14" s="77"/>
      <c r="J14" s="58"/>
      <c r="K14" s="65"/>
      <c r="L14" s="77" t="s">
        <v>14</v>
      </c>
      <c r="M14" s="77"/>
      <c r="N14" s="77"/>
    </row>
    <row r="15" spans="1:25" ht="42.75" customHeight="1" x14ac:dyDescent="0.25">
      <c r="A15" s="80" t="s">
        <v>9</v>
      </c>
      <c r="B15" s="77" t="s">
        <v>10</v>
      </c>
      <c r="C15" s="77" t="s">
        <v>11</v>
      </c>
      <c r="D15" s="77" t="s">
        <v>12</v>
      </c>
      <c r="E15" s="65" t="s">
        <v>29</v>
      </c>
      <c r="F15" s="65" t="s">
        <v>30</v>
      </c>
      <c r="G15" s="65" t="s">
        <v>31</v>
      </c>
      <c r="H15" s="65"/>
      <c r="I15" s="65"/>
      <c r="J15" s="58"/>
      <c r="K15" s="65"/>
      <c r="L15" s="65" t="s">
        <v>29</v>
      </c>
      <c r="M15" s="65" t="s">
        <v>31</v>
      </c>
      <c r="N15" s="69"/>
      <c r="Q15" s="82" t="s">
        <v>15</v>
      </c>
      <c r="R15" s="82"/>
      <c r="S15" s="82"/>
      <c r="T15" s="58"/>
      <c r="U15" s="75" t="s">
        <v>16</v>
      </c>
      <c r="V15" s="75"/>
      <c r="W15" s="75"/>
      <c r="X15" s="76"/>
    </row>
    <row r="16" spans="1:25" ht="30" x14ac:dyDescent="0.25">
      <c r="A16" s="80"/>
      <c r="B16" s="77"/>
      <c r="C16" s="77"/>
      <c r="D16" s="77"/>
      <c r="E16" s="65" t="s">
        <v>17</v>
      </c>
      <c r="F16" s="66" t="s">
        <v>18</v>
      </c>
      <c r="G16" s="66" t="s">
        <v>19</v>
      </c>
      <c r="H16" s="66" t="s">
        <v>20</v>
      </c>
      <c r="I16" s="66" t="s">
        <v>21</v>
      </c>
      <c r="J16" s="58"/>
      <c r="K16" s="70" t="s">
        <v>9</v>
      </c>
      <c r="L16" s="65" t="s">
        <v>22</v>
      </c>
      <c r="M16" s="66" t="s">
        <v>19</v>
      </c>
      <c r="N16" s="66" t="s">
        <v>23</v>
      </c>
      <c r="P16" s="51" t="s">
        <v>9</v>
      </c>
      <c r="Q16" s="56" t="s">
        <v>24</v>
      </c>
      <c r="R16" s="55" t="s">
        <v>19</v>
      </c>
      <c r="S16" s="55" t="s">
        <v>23</v>
      </c>
      <c r="T16" s="58"/>
      <c r="U16" s="55" t="s">
        <v>227</v>
      </c>
      <c r="V16" s="55" t="s">
        <v>25</v>
      </c>
      <c r="W16" s="55" t="s">
        <v>26</v>
      </c>
      <c r="X16" s="55" t="s">
        <v>23</v>
      </c>
      <c r="Y16" s="64"/>
    </row>
    <row r="17" spans="1:24" s="2" customFormat="1" x14ac:dyDescent="0.25">
      <c r="A17" s="46" t="s">
        <v>226</v>
      </c>
      <c r="B17" s="46" t="s">
        <v>233</v>
      </c>
      <c r="C17" s="46" t="s">
        <v>234</v>
      </c>
      <c r="D17" s="46" t="s">
        <v>235</v>
      </c>
      <c r="E17" s="46" t="s">
        <v>42</v>
      </c>
      <c r="F17" s="46" t="s">
        <v>239</v>
      </c>
      <c r="G17" s="46" t="s">
        <v>236</v>
      </c>
      <c r="H17" s="59">
        <v>3733.95</v>
      </c>
      <c r="I17" s="59">
        <v>0</v>
      </c>
      <c r="J17" s="68"/>
      <c r="K17" s="73">
        <v>2</v>
      </c>
      <c r="L17" s="49" t="s">
        <v>240</v>
      </c>
      <c r="M17" s="46" t="s">
        <v>250</v>
      </c>
      <c r="N17" s="59">
        <v>249.77</v>
      </c>
      <c r="O17" s="3"/>
      <c r="P17" s="46" t="s">
        <v>226</v>
      </c>
      <c r="Q17" s="46" t="s">
        <v>244</v>
      </c>
      <c r="R17" s="46" t="s">
        <v>253</v>
      </c>
      <c r="S17" s="59">
        <v>195.06</v>
      </c>
      <c r="T17" s="57"/>
      <c r="U17" s="46"/>
      <c r="V17" s="46"/>
      <c r="W17" s="46"/>
      <c r="X17" s="59"/>
    </row>
    <row r="18" spans="1:24" s="2" customFormat="1" x14ac:dyDescent="0.25">
      <c r="A18" s="46" t="s">
        <v>246</v>
      </c>
      <c r="B18" s="46" t="s">
        <v>247</v>
      </c>
      <c r="C18" s="46" t="s">
        <v>248</v>
      </c>
      <c r="D18" s="46" t="s">
        <v>249</v>
      </c>
      <c r="E18" s="46" t="s">
        <v>42</v>
      </c>
      <c r="F18" s="46" t="s">
        <v>254</v>
      </c>
      <c r="G18" s="46" t="s">
        <v>33</v>
      </c>
      <c r="H18" s="59">
        <v>2310</v>
      </c>
      <c r="I18" s="59">
        <v>0</v>
      </c>
      <c r="J18" s="68"/>
      <c r="K18" s="71" t="s">
        <v>226</v>
      </c>
      <c r="L18" s="49" t="s">
        <v>243</v>
      </c>
      <c r="M18" s="46" t="s">
        <v>251</v>
      </c>
      <c r="N18" s="59">
        <v>49.24</v>
      </c>
      <c r="O18" s="3"/>
      <c r="P18" s="46"/>
      <c r="Q18" s="46"/>
      <c r="R18" s="46"/>
      <c r="S18" s="59"/>
      <c r="T18" s="57"/>
      <c r="U18" s="46"/>
      <c r="V18" s="46"/>
      <c r="W18" s="46"/>
      <c r="X18" s="59"/>
    </row>
    <row r="19" spans="1:24" x14ac:dyDescent="0.25">
      <c r="A19" s="45"/>
      <c r="B19" s="46"/>
      <c r="C19" s="46"/>
      <c r="D19" s="46"/>
      <c r="E19" s="46"/>
      <c r="F19" s="46"/>
      <c r="G19" s="50"/>
      <c r="H19" s="60"/>
      <c r="I19" s="60"/>
      <c r="J19" s="68"/>
      <c r="K19" s="72" t="s">
        <v>226</v>
      </c>
      <c r="L19" s="49" t="s">
        <v>242</v>
      </c>
      <c r="M19" s="45" t="s">
        <v>252</v>
      </c>
      <c r="N19" s="60">
        <v>44.31</v>
      </c>
      <c r="P19" s="45"/>
      <c r="Q19" s="46"/>
      <c r="R19" s="45"/>
      <c r="S19" s="60"/>
      <c r="T19" s="57"/>
      <c r="U19" s="46"/>
      <c r="V19" s="45"/>
      <c r="W19" s="46"/>
      <c r="X19" s="60"/>
    </row>
    <row r="20" spans="1:24" x14ac:dyDescent="0.25">
      <c r="A20" s="45"/>
      <c r="B20" s="46"/>
      <c r="C20" s="46"/>
      <c r="D20" s="46"/>
      <c r="E20" s="46"/>
      <c r="F20" s="46"/>
      <c r="G20" s="50"/>
      <c r="H20" s="60"/>
      <c r="I20" s="60"/>
      <c r="J20" s="68"/>
      <c r="K20" s="72" t="s">
        <v>246</v>
      </c>
      <c r="L20" s="49" t="s">
        <v>240</v>
      </c>
      <c r="M20" s="46" t="s">
        <v>255</v>
      </c>
      <c r="N20" s="60">
        <v>114.41</v>
      </c>
      <c r="P20" s="45"/>
      <c r="Q20" s="46"/>
      <c r="R20" s="45"/>
      <c r="S20" s="60"/>
      <c r="T20" s="57"/>
      <c r="U20" s="46"/>
      <c r="V20" s="45"/>
      <c r="W20" s="46"/>
      <c r="X20" s="60"/>
    </row>
    <row r="21" spans="1:24" x14ac:dyDescent="0.25">
      <c r="A21" s="45"/>
      <c r="B21" s="46"/>
      <c r="C21" s="46"/>
      <c r="D21" s="46"/>
      <c r="E21" s="46"/>
      <c r="F21" s="46"/>
      <c r="G21" s="50"/>
      <c r="H21" s="60"/>
      <c r="I21" s="60"/>
      <c r="J21" s="68"/>
      <c r="K21" s="72"/>
      <c r="L21" s="49"/>
      <c r="M21" s="46"/>
      <c r="N21" s="60"/>
      <c r="P21" s="45"/>
      <c r="Q21" s="46"/>
      <c r="R21" s="45"/>
      <c r="S21" s="60"/>
      <c r="T21" s="57"/>
      <c r="U21" s="46"/>
      <c r="V21" s="45"/>
      <c r="W21" s="46"/>
      <c r="X21" s="60"/>
    </row>
    <row r="22" spans="1:24" x14ac:dyDescent="0.25">
      <c r="A22" s="45"/>
      <c r="B22" s="46"/>
      <c r="C22" s="46"/>
      <c r="D22" s="63"/>
      <c r="E22" s="46"/>
      <c r="F22" s="46"/>
      <c r="G22" s="50"/>
      <c r="H22" s="60"/>
      <c r="I22" s="60"/>
      <c r="J22" s="68"/>
      <c r="K22" s="72"/>
      <c r="L22" s="49"/>
      <c r="M22" s="50"/>
      <c r="N22" s="60"/>
      <c r="P22" s="45"/>
      <c r="Q22" s="46"/>
      <c r="R22" s="45"/>
      <c r="S22" s="60"/>
      <c r="T22" s="57"/>
      <c r="U22" s="46"/>
      <c r="V22" s="45"/>
      <c r="W22" s="46"/>
      <c r="X22" s="60"/>
    </row>
    <row r="23" spans="1:24" x14ac:dyDescent="0.25">
      <c r="B23" s="3"/>
      <c r="C23" s="3"/>
      <c r="D23" s="3"/>
      <c r="E23" s="3"/>
      <c r="G23" s="44"/>
      <c r="H23" s="61"/>
      <c r="I23" s="61"/>
      <c r="J23" s="61"/>
      <c r="K23" s="61"/>
      <c r="L23" s="49"/>
      <c r="N23" s="61"/>
      <c r="P23" s="45"/>
      <c r="Q23" s="46"/>
      <c r="R23" s="45"/>
      <c r="S23" s="60"/>
      <c r="T23" s="57"/>
      <c r="U23" s="46"/>
      <c r="V23" s="45"/>
      <c r="W23" s="46"/>
      <c r="X23" s="60"/>
    </row>
    <row r="24" spans="1:24" x14ac:dyDescent="0.25">
      <c r="B24" s="3"/>
      <c r="C24" s="3"/>
      <c r="D24" s="3"/>
      <c r="G24" s="3"/>
      <c r="H24" s="3"/>
      <c r="I24" s="3"/>
      <c r="L24" s="3"/>
      <c r="M24" s="3"/>
      <c r="N24" s="3"/>
      <c r="Q24" s="3"/>
      <c r="R24" s="3"/>
      <c r="S24" s="3"/>
      <c r="V24" s="3"/>
      <c r="W24" s="3"/>
      <c r="X24" s="3"/>
    </row>
    <row r="25" spans="1:24" x14ac:dyDescent="0.25">
      <c r="B25" s="3"/>
      <c r="C25" s="3"/>
      <c r="D25" s="3"/>
      <c r="E25" s="3"/>
      <c r="G25" s="3"/>
      <c r="H25" s="3"/>
      <c r="I25" s="3"/>
      <c r="J25" s="3"/>
      <c r="L25" s="3"/>
      <c r="M25" s="3"/>
      <c r="N25" s="3"/>
      <c r="O25" s="3"/>
      <c r="Q25" s="3"/>
      <c r="R25" s="3"/>
      <c r="S25" s="3"/>
      <c r="T25" s="3"/>
      <c r="V25" s="3"/>
      <c r="W25" s="3"/>
      <c r="X25" s="3"/>
    </row>
    <row r="26" spans="1:24" x14ac:dyDescent="0.25">
      <c r="H26" s="61"/>
      <c r="I26" s="61"/>
      <c r="J26" s="61"/>
      <c r="K26" s="61"/>
      <c r="N26" s="61"/>
      <c r="S26" s="61"/>
      <c r="V26" s="61"/>
      <c r="X26" s="61"/>
    </row>
    <row r="27" spans="1:24" x14ac:dyDescent="0.25">
      <c r="H27" s="61"/>
      <c r="I27" s="61"/>
      <c r="J27" s="61"/>
      <c r="K27" s="61"/>
      <c r="N27" s="61"/>
      <c r="S27" s="61"/>
      <c r="V27" s="61"/>
      <c r="X27" s="61"/>
    </row>
    <row r="28" spans="1:24" x14ac:dyDescent="0.25">
      <c r="H28" s="61"/>
      <c r="I28" s="61"/>
      <c r="J28" s="61"/>
      <c r="K28" s="61"/>
      <c r="N28" s="61"/>
      <c r="S28" s="61"/>
      <c r="V28" s="61"/>
      <c r="X28" s="61"/>
    </row>
    <row r="29" spans="1:24" x14ac:dyDescent="0.25">
      <c r="H29" s="61"/>
      <c r="I29" s="61"/>
      <c r="J29" s="61"/>
      <c r="K29" s="61"/>
      <c r="N29" s="61"/>
      <c r="S29" s="62"/>
      <c r="V29" s="61"/>
      <c r="X29" s="61"/>
    </row>
    <row r="30" spans="1:24" x14ac:dyDescent="0.25">
      <c r="H30" s="61"/>
      <c r="I30" s="61"/>
      <c r="J30" s="61"/>
      <c r="K30" s="61"/>
      <c r="N30" s="61"/>
      <c r="S30" s="61"/>
      <c r="V30" s="61"/>
      <c r="X30" s="61"/>
    </row>
    <row r="31" spans="1:24" x14ac:dyDescent="0.25">
      <c r="H31" s="61"/>
      <c r="I31" s="61"/>
      <c r="J31" s="61"/>
      <c r="K31" s="61"/>
      <c r="N31" s="61"/>
      <c r="S31" s="61"/>
      <c r="V31" s="61"/>
      <c r="X31" s="61"/>
    </row>
    <row r="32" spans="1:24" x14ac:dyDescent="0.25">
      <c r="H32" s="61"/>
      <c r="I32" s="61"/>
      <c r="J32" s="61"/>
      <c r="K32" s="61"/>
      <c r="N32" s="61"/>
      <c r="S32" s="61"/>
      <c r="V32" s="61"/>
      <c r="X32" s="61"/>
    </row>
    <row r="33" spans="8:24" x14ac:dyDescent="0.25">
      <c r="H33" s="61"/>
      <c r="I33" s="61"/>
      <c r="J33" s="61"/>
      <c r="K33" s="61"/>
      <c r="N33" s="61"/>
      <c r="X33" s="61"/>
    </row>
    <row r="34" spans="8:24" x14ac:dyDescent="0.25">
      <c r="H34" s="61"/>
      <c r="I34" s="61"/>
      <c r="J34" s="61"/>
      <c r="K34" s="61"/>
      <c r="N34" s="61"/>
      <c r="X34" s="61"/>
    </row>
    <row r="35" spans="8:24" x14ac:dyDescent="0.25">
      <c r="H35" s="61"/>
      <c r="I35" s="61"/>
      <c r="J35" s="61"/>
      <c r="K35" s="61"/>
      <c r="X35" s="61"/>
    </row>
    <row r="36" spans="8:24" x14ac:dyDescent="0.25">
      <c r="H36" s="61"/>
      <c r="I36" s="61"/>
      <c r="J36" s="61"/>
      <c r="K36" s="61"/>
      <c r="X36" s="61"/>
    </row>
    <row r="37" spans="8:24" x14ac:dyDescent="0.25">
      <c r="H37" s="61"/>
      <c r="I37" s="61"/>
      <c r="J37" s="61"/>
      <c r="K37" s="61"/>
    </row>
    <row r="38" spans="8:24" x14ac:dyDescent="0.25">
      <c r="H38" s="61"/>
      <c r="I38" s="61"/>
      <c r="J38" s="61"/>
      <c r="K38" s="61"/>
    </row>
    <row r="39" spans="8:24" x14ac:dyDescent="0.25">
      <c r="H39" s="61"/>
      <c r="I39" s="61"/>
      <c r="J39" s="61"/>
      <c r="K39" s="61"/>
    </row>
    <row r="40" spans="8:24" x14ac:dyDescent="0.25">
      <c r="H40" s="61"/>
      <c r="I40" s="61"/>
      <c r="J40" s="61"/>
      <c r="K40" s="61"/>
    </row>
  </sheetData>
  <dataConsolidate/>
  <mergeCells count="16">
    <mergeCell ref="H2:I2"/>
    <mergeCell ref="E14:I14"/>
    <mergeCell ref="L14:N14"/>
    <mergeCell ref="Q15:S15"/>
    <mergeCell ref="A2:B2"/>
    <mergeCell ref="A3:B3"/>
    <mergeCell ref="A6:B6"/>
    <mergeCell ref="A7:B7"/>
    <mergeCell ref="A9:B9"/>
    <mergeCell ref="U15:X15"/>
    <mergeCell ref="D15:D16"/>
    <mergeCell ref="A10:B10"/>
    <mergeCell ref="A12:B12"/>
    <mergeCell ref="A15:A16"/>
    <mergeCell ref="B15:B16"/>
    <mergeCell ref="C15:C16"/>
  </mergeCells>
  <phoneticPr fontId="2" type="noConversion"/>
  <dataValidations count="6">
    <dataValidation type="list" allowBlank="1" showInputMessage="1" showErrorMessage="1" sqref="C6" xr:uid="{FB64CB1D-A4B2-4312-B0B3-4AE10CFD0BFA}">
      <formula1>"O,E"</formula1>
    </dataValidation>
    <dataValidation type="list" allowBlank="1" showInputMessage="1" showErrorMessage="1" sqref="C11" xr:uid="{F4B921BE-AE8E-451C-A44E-FFE4970E501B}">
      <formula1>"Diario, Semanal, Catorcenal, Quincenal, Mensual, Bimestral, Unidad obra, Comisión, Precio alzado, Decenal, Otra Periodicidad"</formula1>
    </dataValidation>
    <dataValidation type="list" allowBlank="1" showInputMessage="1" showErrorMessage="1" sqref="C13" xr:uid="{9B35E0F7-3637-464B-B327-42D6159FCD3B}">
      <formula1>"IP, IF, IM"</formula1>
    </dataValidation>
    <dataValidation type="list" allowBlank="1" showInputMessage="1" showErrorMessage="1" sqref="D6" xr:uid="{9AB734E0-3220-4188-B39F-42F1D0A44583}">
      <formula1>"Nómina Ordinaria,Nómina Extraordinaria"</formula1>
    </dataValidation>
    <dataValidation type="list" allowBlank="1" showInputMessage="1" showErrorMessage="1" sqref="D11" xr:uid="{E59F2988-4A54-46B5-9EB6-8B7641BBE687}">
      <formula1>"Diario,Semanal,Catorcenal,Quincenal,Mensual,Bimestral,Unidad obra,Comisión,Precio alzado,Decenal,Otra Periodicidad"</formula1>
    </dataValidation>
    <dataValidation type="list" allowBlank="1" showInputMessage="1" showErrorMessage="1" sqref="D12" xr:uid="{6E8AB270-BD12-476D-A0FF-62B00D3A8132}">
      <formula1>"Ingresos propios,Ingresos federales,Ingresos mixtos"</formula1>
    </dataValidation>
  </dataValidations>
  <pageMargins left="0.7" right="0.7" top="0.75" bottom="0.75" header="0.3" footer="0.3"/>
  <pageSetup orientation="portrait" horizontalDpi="360" verticalDpi="36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D52521A-962B-40BB-89D2-8CB7925AF974}">
          <x14:formula1>
            <xm:f>TipoOtroPago!$F$6:$F$15</xm:f>
          </x14:formula1>
          <xm:sqref>Q17:Q23</xm:sqref>
        </x14:dataValidation>
        <x14:dataValidation type="list" allowBlank="1" showInputMessage="1" showErrorMessage="1" xr:uid="{E1BF81AA-AC21-476C-8F65-C86B9A11CE23}">
          <x14:formula1>
            <xm:f>Percepciones!$B$6:$B$49</xm:f>
          </x14:formula1>
          <xm:sqref>E17:E22</xm:sqref>
        </x14:dataValidation>
        <x14:dataValidation type="list" allowBlank="1" showInputMessage="1" showErrorMessage="1" xr:uid="{56F2ED0B-3E68-4A97-A768-6C850C82DA62}">
          <x14:formula1>
            <xm:f>TipoIncapacidad!$F$6:$F$9</xm:f>
          </x14:formula1>
          <xm:sqref>W17:W23</xm:sqref>
        </x14:dataValidation>
        <x14:dataValidation type="list" allowBlank="1" showInputMessage="1" showErrorMessage="1" xr:uid="{527D78B9-3CFD-41EB-B65D-D922748B021C}">
          <x14:formula1>
            <xm:f>Percepciones!$F$6:$F$49</xm:f>
          </x14:formula1>
          <xm:sqref>F17:F22</xm:sqref>
        </x14:dataValidation>
        <x14:dataValidation type="list" allowBlank="1" showInputMessage="1" showErrorMessage="1" xr:uid="{0F30A284-2059-462B-A411-B81C0FC0D032}">
          <x14:formula1>
            <xm:f>Deducciones!$F$6:$F$112</xm:f>
          </x14:formula1>
          <xm:sqref>L17:L23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09CAF-264C-4767-9880-4BE0C5984EDC}">
  <dimension ref="A1:F49"/>
  <sheetViews>
    <sheetView topLeftCell="A4" workbookViewId="0">
      <selection activeCell="F6" sqref="F6:F49"/>
    </sheetView>
  </sheetViews>
  <sheetFormatPr baseColWidth="10" defaultRowHeight="15" x14ac:dyDescent="0.25"/>
  <cols>
    <col min="1" max="1" width="18" bestFit="1" customWidth="1"/>
    <col min="2" max="2" width="88.7109375" style="24" customWidth="1"/>
  </cols>
  <sheetData>
    <row r="1" spans="1:6" ht="15.75" thickBot="1" x14ac:dyDescent="0.3">
      <c r="A1" s="83" t="s">
        <v>34</v>
      </c>
      <c r="B1" s="83"/>
      <c r="C1" s="5"/>
      <c r="D1" s="6"/>
    </row>
    <row r="2" spans="1:6" ht="29.25" thickBot="1" x14ac:dyDescent="0.3">
      <c r="A2" s="7" t="s">
        <v>35</v>
      </c>
      <c r="B2" s="17" t="s">
        <v>36</v>
      </c>
      <c r="C2" s="7" t="s">
        <v>37</v>
      </c>
      <c r="D2" s="5"/>
    </row>
    <row r="3" spans="1:6" x14ac:dyDescent="0.25">
      <c r="A3" s="8">
        <v>2</v>
      </c>
      <c r="B3" s="18">
        <v>1</v>
      </c>
      <c r="C3" s="9">
        <v>43804</v>
      </c>
      <c r="D3" s="5"/>
    </row>
    <row r="4" spans="1:6" ht="15.75" thickBot="1" x14ac:dyDescent="0.3">
      <c r="A4" s="10"/>
      <c r="B4" s="19"/>
      <c r="C4" s="5"/>
      <c r="D4" s="6"/>
    </row>
    <row r="5" spans="1:6" ht="42.75" x14ac:dyDescent="0.25">
      <c r="A5" s="11" t="s">
        <v>38</v>
      </c>
      <c r="B5" s="20" t="s">
        <v>39</v>
      </c>
      <c r="C5" s="12" t="s">
        <v>40</v>
      </c>
      <c r="D5" s="12" t="s">
        <v>41</v>
      </c>
    </row>
    <row r="6" spans="1:6" x14ac:dyDescent="0.25">
      <c r="A6" s="13">
        <v>1</v>
      </c>
      <c r="B6" s="21" t="s">
        <v>42</v>
      </c>
      <c r="C6" s="14">
        <v>42675</v>
      </c>
      <c r="D6" s="15"/>
      <c r="F6" t="str">
        <f>VALUE(A6) &amp; " - " &amp; B6</f>
        <v>1 - Sueldos, Salarios  Rayas y Jornales</v>
      </c>
    </row>
    <row r="7" spans="1:6" x14ac:dyDescent="0.25">
      <c r="A7" s="13">
        <v>2</v>
      </c>
      <c r="B7" s="21" t="s">
        <v>43</v>
      </c>
      <c r="C7" s="14">
        <v>42675</v>
      </c>
      <c r="D7" s="15"/>
      <c r="F7" t="str">
        <f t="shared" ref="F7:F49" si="0">VALUE(A7) &amp; " - " &amp; B7</f>
        <v>2 - Gratificación Anual (Aguinaldo)</v>
      </c>
    </row>
    <row r="8" spans="1:6" x14ac:dyDescent="0.25">
      <c r="A8" s="13">
        <v>3</v>
      </c>
      <c r="B8" s="21" t="s">
        <v>44</v>
      </c>
      <c r="C8" s="14">
        <v>42675</v>
      </c>
      <c r="D8" s="15"/>
      <c r="F8" t="str">
        <f t="shared" si="0"/>
        <v>3 - Participación de los Trabajadores en las Utilidades PTU</v>
      </c>
    </row>
    <row r="9" spans="1:6" x14ac:dyDescent="0.25">
      <c r="A9" s="13">
        <v>4</v>
      </c>
      <c r="B9" s="21" t="s">
        <v>45</v>
      </c>
      <c r="C9" s="14">
        <v>42675</v>
      </c>
      <c r="D9" s="15"/>
      <c r="F9" t="str">
        <f t="shared" si="0"/>
        <v>4 - Reembolso de Gastos Médicos Dentales y Hospitalarios</v>
      </c>
    </row>
    <row r="10" spans="1:6" x14ac:dyDescent="0.25">
      <c r="A10" s="13">
        <v>5</v>
      </c>
      <c r="B10" s="21" t="s">
        <v>46</v>
      </c>
      <c r="C10" s="14">
        <v>42675</v>
      </c>
      <c r="D10" s="15"/>
      <c r="F10" t="str">
        <f t="shared" si="0"/>
        <v>5 - Fondo de Ahorro</v>
      </c>
    </row>
    <row r="11" spans="1:6" x14ac:dyDescent="0.25">
      <c r="A11" s="13">
        <v>6</v>
      </c>
      <c r="B11" s="21" t="s">
        <v>47</v>
      </c>
      <c r="C11" s="14">
        <v>42675</v>
      </c>
      <c r="D11" s="15"/>
      <c r="F11" t="str">
        <f t="shared" si="0"/>
        <v>6 - Caja de ahorro</v>
      </c>
    </row>
    <row r="12" spans="1:6" x14ac:dyDescent="0.25">
      <c r="A12" s="13">
        <v>9</v>
      </c>
      <c r="B12" s="21" t="s">
        <v>48</v>
      </c>
      <c r="C12" s="14">
        <v>42675</v>
      </c>
      <c r="D12" s="15"/>
      <c r="F12" t="str">
        <f t="shared" si="0"/>
        <v>9 - Contribuciones a Cargo del Trabajador Pagadas por el Patrón</v>
      </c>
    </row>
    <row r="13" spans="1:6" x14ac:dyDescent="0.25">
      <c r="A13" s="13">
        <v>10</v>
      </c>
      <c r="B13" s="21" t="s">
        <v>49</v>
      </c>
      <c r="C13" s="14">
        <v>42675</v>
      </c>
      <c r="D13" s="15"/>
      <c r="F13" t="str">
        <f t="shared" si="0"/>
        <v>10 - Premios por puntualidad</v>
      </c>
    </row>
    <row r="14" spans="1:6" x14ac:dyDescent="0.25">
      <c r="A14" s="13">
        <v>11</v>
      </c>
      <c r="B14" s="21" t="s">
        <v>50</v>
      </c>
      <c r="C14" s="14">
        <v>42675</v>
      </c>
      <c r="D14" s="15"/>
      <c r="F14" t="str">
        <f t="shared" si="0"/>
        <v>11 - Prima de Seguro de vida</v>
      </c>
    </row>
    <row r="15" spans="1:6" x14ac:dyDescent="0.25">
      <c r="A15" s="13">
        <v>12</v>
      </c>
      <c r="B15" s="21" t="s">
        <v>51</v>
      </c>
      <c r="C15" s="14">
        <v>42675</v>
      </c>
      <c r="D15" s="15"/>
      <c r="F15" t="str">
        <f t="shared" si="0"/>
        <v>12 - Seguro de Gastos Médicos Mayores</v>
      </c>
    </row>
    <row r="16" spans="1:6" x14ac:dyDescent="0.25">
      <c r="A16" s="13">
        <v>13</v>
      </c>
      <c r="B16" s="21" t="s">
        <v>52</v>
      </c>
      <c r="C16" s="14">
        <v>42675</v>
      </c>
      <c r="D16" s="15"/>
      <c r="F16" t="str">
        <f t="shared" si="0"/>
        <v>13 - Cuotas Sindicales Pagadas por el Patrón</v>
      </c>
    </row>
    <row r="17" spans="1:6" x14ac:dyDescent="0.25">
      <c r="A17" s="13">
        <v>14</v>
      </c>
      <c r="B17" s="21" t="s">
        <v>53</v>
      </c>
      <c r="C17" s="14">
        <v>42675</v>
      </c>
      <c r="D17" s="15"/>
      <c r="F17" t="str">
        <f t="shared" si="0"/>
        <v>14 - Subsidios por incapacidad</v>
      </c>
    </row>
    <row r="18" spans="1:6" x14ac:dyDescent="0.25">
      <c r="A18" s="13">
        <v>15</v>
      </c>
      <c r="B18" s="21" t="s">
        <v>54</v>
      </c>
      <c r="C18" s="14">
        <v>42675</v>
      </c>
      <c r="D18" s="15"/>
      <c r="F18" t="str">
        <f t="shared" si="0"/>
        <v>15 - Becas para trabajadores y/o hijos</v>
      </c>
    </row>
    <row r="19" spans="1:6" x14ac:dyDescent="0.25">
      <c r="A19" s="13">
        <v>19</v>
      </c>
      <c r="B19" s="21" t="s">
        <v>55</v>
      </c>
      <c r="C19" s="14">
        <v>42675</v>
      </c>
      <c r="D19" s="15"/>
      <c r="F19" t="str">
        <f t="shared" si="0"/>
        <v>19 - Horas extra</v>
      </c>
    </row>
    <row r="20" spans="1:6" x14ac:dyDescent="0.25">
      <c r="A20" s="13">
        <v>20</v>
      </c>
      <c r="B20" s="21" t="s">
        <v>56</v>
      </c>
      <c r="C20" s="14">
        <v>42675</v>
      </c>
      <c r="D20" s="15"/>
      <c r="F20" t="str">
        <f t="shared" si="0"/>
        <v>20 - Prima dominical</v>
      </c>
    </row>
    <row r="21" spans="1:6" x14ac:dyDescent="0.25">
      <c r="A21" s="13">
        <v>21</v>
      </c>
      <c r="B21" s="21" t="s">
        <v>57</v>
      </c>
      <c r="C21" s="14">
        <v>42675</v>
      </c>
      <c r="D21" s="15"/>
      <c r="F21" t="str">
        <f t="shared" si="0"/>
        <v>21 - Prima vacacional</v>
      </c>
    </row>
    <row r="22" spans="1:6" x14ac:dyDescent="0.25">
      <c r="A22" s="13">
        <v>22</v>
      </c>
      <c r="B22" s="21" t="s">
        <v>58</v>
      </c>
      <c r="C22" s="14">
        <v>42675</v>
      </c>
      <c r="D22" s="15"/>
      <c r="F22" t="str">
        <f t="shared" si="0"/>
        <v>22 - Prima por antigüedad</v>
      </c>
    </row>
    <row r="23" spans="1:6" x14ac:dyDescent="0.25">
      <c r="A23" s="13">
        <v>23</v>
      </c>
      <c r="B23" s="21" t="s">
        <v>59</v>
      </c>
      <c r="C23" s="14">
        <v>42675</v>
      </c>
      <c r="D23" s="15"/>
      <c r="F23" t="str">
        <f t="shared" si="0"/>
        <v>23 - Pagos por separación</v>
      </c>
    </row>
    <row r="24" spans="1:6" x14ac:dyDescent="0.25">
      <c r="A24" s="13">
        <v>24</v>
      </c>
      <c r="B24" s="21" t="s">
        <v>60</v>
      </c>
      <c r="C24" s="14">
        <v>42675</v>
      </c>
      <c r="D24" s="15"/>
      <c r="F24" t="str">
        <f t="shared" si="0"/>
        <v>24 - Seguro de retiro</v>
      </c>
    </row>
    <row r="25" spans="1:6" x14ac:dyDescent="0.25">
      <c r="A25" s="13">
        <v>25</v>
      </c>
      <c r="B25" s="21" t="s">
        <v>61</v>
      </c>
      <c r="C25" s="14">
        <v>42675</v>
      </c>
      <c r="D25" s="15"/>
      <c r="F25" t="str">
        <f t="shared" si="0"/>
        <v>25 - Indemnizaciones</v>
      </c>
    </row>
    <row r="26" spans="1:6" x14ac:dyDescent="0.25">
      <c r="A26" s="13">
        <v>26</v>
      </c>
      <c r="B26" s="21" t="s">
        <v>62</v>
      </c>
      <c r="C26" s="14">
        <v>42675</v>
      </c>
      <c r="D26" s="15"/>
      <c r="F26" t="str">
        <f t="shared" si="0"/>
        <v>26 - Reembolso por funeral</v>
      </c>
    </row>
    <row r="27" spans="1:6" x14ac:dyDescent="0.25">
      <c r="A27" s="13">
        <v>27</v>
      </c>
      <c r="B27" s="21" t="s">
        <v>63</v>
      </c>
      <c r="C27" s="14">
        <v>42675</v>
      </c>
      <c r="D27" s="15"/>
      <c r="F27" t="str">
        <f t="shared" si="0"/>
        <v>27 - Cuotas de seguridad social pagadas por el patrón</v>
      </c>
    </row>
    <row r="28" spans="1:6" x14ac:dyDescent="0.25">
      <c r="A28" s="13">
        <v>28</v>
      </c>
      <c r="B28" s="21" t="s">
        <v>64</v>
      </c>
      <c r="C28" s="14">
        <v>42675</v>
      </c>
      <c r="D28" s="15"/>
      <c r="F28" t="str">
        <f t="shared" si="0"/>
        <v>28 - Comisiones</v>
      </c>
    </row>
    <row r="29" spans="1:6" x14ac:dyDescent="0.25">
      <c r="A29" s="13">
        <v>29</v>
      </c>
      <c r="B29" s="21" t="s">
        <v>65</v>
      </c>
      <c r="C29" s="14">
        <v>42675</v>
      </c>
      <c r="D29" s="15"/>
      <c r="F29" t="str">
        <f t="shared" si="0"/>
        <v>29 - Vales de despensa</v>
      </c>
    </row>
    <row r="30" spans="1:6" x14ac:dyDescent="0.25">
      <c r="A30" s="13">
        <v>30</v>
      </c>
      <c r="B30" s="21" t="s">
        <v>66</v>
      </c>
      <c r="C30" s="14">
        <v>42675</v>
      </c>
      <c r="D30" s="15"/>
      <c r="F30" t="str">
        <f t="shared" si="0"/>
        <v>30 - Vales de restaurante</v>
      </c>
    </row>
    <row r="31" spans="1:6" x14ac:dyDescent="0.25">
      <c r="A31" s="13">
        <v>31</v>
      </c>
      <c r="B31" s="21" t="s">
        <v>67</v>
      </c>
      <c r="C31" s="14">
        <v>42675</v>
      </c>
      <c r="D31" s="15"/>
      <c r="F31" t="str">
        <f t="shared" si="0"/>
        <v>31 - Vales de gasolina</v>
      </c>
    </row>
    <row r="32" spans="1:6" x14ac:dyDescent="0.25">
      <c r="A32" s="13">
        <v>32</v>
      </c>
      <c r="B32" s="21" t="s">
        <v>68</v>
      </c>
      <c r="C32" s="14">
        <v>42675</v>
      </c>
      <c r="D32" s="15"/>
      <c r="F32" t="str">
        <f t="shared" si="0"/>
        <v>32 - Vales de ropa</v>
      </c>
    </row>
    <row r="33" spans="1:6" x14ac:dyDescent="0.25">
      <c r="A33" s="13">
        <v>33</v>
      </c>
      <c r="B33" s="21" t="s">
        <v>69</v>
      </c>
      <c r="C33" s="14">
        <v>42675</v>
      </c>
      <c r="D33" s="15"/>
      <c r="F33" t="str">
        <f t="shared" si="0"/>
        <v>33 - Ayuda para renta</v>
      </c>
    </row>
    <row r="34" spans="1:6" x14ac:dyDescent="0.25">
      <c r="A34" s="13">
        <v>34</v>
      </c>
      <c r="B34" s="21" t="s">
        <v>70</v>
      </c>
      <c r="C34" s="14">
        <v>42675</v>
      </c>
      <c r="D34" s="15"/>
      <c r="F34" t="str">
        <f t="shared" si="0"/>
        <v>34 - Ayuda para artículos escolares</v>
      </c>
    </row>
    <row r="35" spans="1:6" x14ac:dyDescent="0.25">
      <c r="A35" s="13">
        <v>35</v>
      </c>
      <c r="B35" s="21" t="s">
        <v>71</v>
      </c>
      <c r="C35" s="14">
        <v>42675</v>
      </c>
      <c r="D35" s="15"/>
      <c r="F35" t="str">
        <f t="shared" si="0"/>
        <v>35 - Ayuda para anteojos</v>
      </c>
    </row>
    <row r="36" spans="1:6" x14ac:dyDescent="0.25">
      <c r="A36" s="13">
        <v>36</v>
      </c>
      <c r="B36" s="21" t="s">
        <v>72</v>
      </c>
      <c r="C36" s="14">
        <v>42675</v>
      </c>
      <c r="D36" s="15"/>
      <c r="F36" t="str">
        <f t="shared" si="0"/>
        <v>36 - Ayuda para transporte</v>
      </c>
    </row>
    <row r="37" spans="1:6" x14ac:dyDescent="0.25">
      <c r="A37" s="13">
        <v>37</v>
      </c>
      <c r="B37" s="21" t="s">
        <v>73</v>
      </c>
      <c r="C37" s="14">
        <v>42675</v>
      </c>
      <c r="D37" s="15"/>
      <c r="F37" t="str">
        <f t="shared" si="0"/>
        <v>37 - Ayuda para gastos de funeral</v>
      </c>
    </row>
    <row r="38" spans="1:6" x14ac:dyDescent="0.25">
      <c r="A38" s="13">
        <v>38</v>
      </c>
      <c r="B38" s="21" t="s">
        <v>74</v>
      </c>
      <c r="C38" s="14">
        <v>42675</v>
      </c>
      <c r="D38" s="15"/>
      <c r="F38" t="str">
        <f t="shared" si="0"/>
        <v>38 - Otros ingresos por salarios</v>
      </c>
    </row>
    <row r="39" spans="1:6" x14ac:dyDescent="0.25">
      <c r="A39" s="13">
        <v>39</v>
      </c>
      <c r="B39" s="21" t="s">
        <v>75</v>
      </c>
      <c r="C39" s="14">
        <v>42675</v>
      </c>
      <c r="D39" s="15"/>
      <c r="F39" t="str">
        <f t="shared" si="0"/>
        <v>39 - Jubilaciones, pensiones o haberes de retiro</v>
      </c>
    </row>
    <row r="40" spans="1:6" x14ac:dyDescent="0.25">
      <c r="A40" s="13">
        <v>44</v>
      </c>
      <c r="B40" s="21" t="s">
        <v>76</v>
      </c>
      <c r="C40" s="14">
        <v>42675</v>
      </c>
      <c r="D40" s="15"/>
      <c r="F40" t="str">
        <f t="shared" si="0"/>
        <v>44 - Jubilaciones, pensiones o haberes de retiro en parcialidades</v>
      </c>
    </row>
    <row r="41" spans="1:6" x14ac:dyDescent="0.25">
      <c r="A41" s="13">
        <v>45</v>
      </c>
      <c r="B41" s="21" t="s">
        <v>77</v>
      </c>
      <c r="C41" s="14">
        <v>42675</v>
      </c>
      <c r="D41" s="15"/>
      <c r="F41" t="str">
        <f t="shared" si="0"/>
        <v>45 - Ingresos en acciones o títulos valor que representan bienes</v>
      </c>
    </row>
    <row r="42" spans="1:6" x14ac:dyDescent="0.25">
      <c r="A42" s="13">
        <v>46</v>
      </c>
      <c r="B42" s="22" t="s">
        <v>33</v>
      </c>
      <c r="C42" s="14">
        <v>42675</v>
      </c>
      <c r="D42" s="15"/>
      <c r="F42" t="str">
        <f t="shared" si="0"/>
        <v>46 - Ingresos asimilados a salarios</v>
      </c>
    </row>
    <row r="43" spans="1:6" x14ac:dyDescent="0.25">
      <c r="A43" s="13">
        <v>47</v>
      </c>
      <c r="B43" s="22" t="s">
        <v>78</v>
      </c>
      <c r="C43" s="14">
        <v>42675</v>
      </c>
      <c r="D43" s="15"/>
      <c r="F43" t="str">
        <f t="shared" si="0"/>
        <v>47 - Alimentación diferentes a los establecidos en el Art 94 último párrafo LISR</v>
      </c>
    </row>
    <row r="44" spans="1:6" x14ac:dyDescent="0.25">
      <c r="A44" s="13">
        <v>48</v>
      </c>
      <c r="B44" s="22" t="s">
        <v>79</v>
      </c>
      <c r="C44" s="14">
        <v>42675</v>
      </c>
      <c r="D44" s="15"/>
      <c r="F44" t="str">
        <f t="shared" si="0"/>
        <v>48 - Habitación</v>
      </c>
    </row>
    <row r="45" spans="1:6" x14ac:dyDescent="0.25">
      <c r="A45" s="13">
        <v>49</v>
      </c>
      <c r="B45" s="22" t="s">
        <v>80</v>
      </c>
      <c r="C45" s="14">
        <v>42675</v>
      </c>
      <c r="D45" s="15"/>
      <c r="F45" t="str">
        <f t="shared" si="0"/>
        <v>49 - Premios por asistencia</v>
      </c>
    </row>
    <row r="46" spans="1:6" x14ac:dyDescent="0.25">
      <c r="A46" s="13">
        <v>50</v>
      </c>
      <c r="B46" s="22" t="s">
        <v>81</v>
      </c>
      <c r="C46" s="14">
        <v>42741</v>
      </c>
      <c r="D46" s="15"/>
      <c r="F46" t="str">
        <f t="shared" si="0"/>
        <v>50 - Viáticos</v>
      </c>
    </row>
    <row r="47" spans="1:6" x14ac:dyDescent="0.25">
      <c r="A47" s="13">
        <v>51</v>
      </c>
      <c r="B47" s="23" t="s">
        <v>82</v>
      </c>
      <c r="C47" s="14">
        <v>43388</v>
      </c>
      <c r="D47" s="16"/>
      <c r="F47" t="str">
        <f t="shared" si="0"/>
        <v>51 - Pagos por gratificaciones, primas, compensaciones, recompensas u otros a extrabajadores derivados de jubilación en parcialidades</v>
      </c>
    </row>
    <row r="48" spans="1:6" x14ac:dyDescent="0.25">
      <c r="A48" s="13">
        <v>52</v>
      </c>
      <c r="B48" s="23" t="s">
        <v>83</v>
      </c>
      <c r="C48" s="14">
        <v>43388</v>
      </c>
      <c r="D48" s="16"/>
      <c r="F48" t="str">
        <f t="shared" si="0"/>
        <v>52 - Pagos que se realicen a extrabajadores que obtengan una jubilación en parcialidades derivados de la ejecución de resoluciones judicial o de un laudo</v>
      </c>
    </row>
    <row r="49" spans="1:6" x14ac:dyDescent="0.25">
      <c r="A49" s="13">
        <v>53</v>
      </c>
      <c r="B49" s="23" t="s">
        <v>84</v>
      </c>
      <c r="C49" s="14">
        <v>43388</v>
      </c>
      <c r="D49" s="16"/>
      <c r="F49" t="str">
        <f t="shared" si="0"/>
        <v>53 - Pagos que se realicen a extrabajadores que obtengan una jubilación en una sola exhibición derivados de la ejecución de resoluciones judicial o de un laudo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D385A-5A19-4DDA-852E-80C232EFEC42}">
  <dimension ref="A1:F112"/>
  <sheetViews>
    <sheetView topLeftCell="A91" workbookViewId="0">
      <selection activeCell="F118" sqref="F118"/>
    </sheetView>
  </sheetViews>
  <sheetFormatPr baseColWidth="10" defaultRowHeight="15" x14ac:dyDescent="0.25"/>
  <cols>
    <col min="1" max="1" width="17.42578125" bestFit="1" customWidth="1"/>
    <col min="2" max="2" width="109.85546875" customWidth="1"/>
    <col min="3" max="3" width="23.42578125" bestFit="1" customWidth="1"/>
    <col min="4" max="4" width="20.7109375" bestFit="1" customWidth="1"/>
  </cols>
  <sheetData>
    <row r="1" spans="1:6" ht="15.75" thickBot="1" x14ac:dyDescent="0.3">
      <c r="A1" s="84" t="s">
        <v>85</v>
      </c>
      <c r="B1" s="84"/>
      <c r="C1" s="19"/>
      <c r="D1" s="85"/>
      <c r="E1" s="86"/>
    </row>
    <row r="2" spans="1:6" ht="15.75" thickBot="1" x14ac:dyDescent="0.3">
      <c r="A2" s="17" t="s">
        <v>35</v>
      </c>
      <c r="B2" s="17" t="s">
        <v>36</v>
      </c>
      <c r="C2" s="17" t="s">
        <v>37</v>
      </c>
      <c r="D2" s="19"/>
      <c r="E2" s="25"/>
    </row>
    <row r="3" spans="1:6" x14ac:dyDescent="0.25">
      <c r="A3" s="28">
        <v>4</v>
      </c>
      <c r="B3" s="18">
        <v>0</v>
      </c>
      <c r="C3" s="29">
        <v>43804</v>
      </c>
      <c r="D3" s="19"/>
      <c r="E3" s="25"/>
    </row>
    <row r="4" spans="1:6" ht="15.75" thickBot="1" x14ac:dyDescent="0.3">
      <c r="A4" s="10"/>
      <c r="B4" s="19"/>
      <c r="C4" s="30"/>
      <c r="D4" s="19"/>
      <c r="E4" s="19"/>
    </row>
    <row r="5" spans="1:6" x14ac:dyDescent="0.25">
      <c r="A5" s="20" t="s">
        <v>86</v>
      </c>
      <c r="B5" s="20" t="s">
        <v>39</v>
      </c>
      <c r="C5" s="31" t="s">
        <v>40</v>
      </c>
      <c r="D5" s="31" t="s">
        <v>41</v>
      </c>
      <c r="E5" s="32"/>
    </row>
    <row r="6" spans="1:6" x14ac:dyDescent="0.25">
      <c r="A6" s="15">
        <v>1</v>
      </c>
      <c r="B6" s="21" t="s">
        <v>87</v>
      </c>
      <c r="C6" s="14">
        <v>42675</v>
      </c>
      <c r="D6" s="14"/>
      <c r="E6" s="32"/>
      <c r="F6" t="str">
        <f>VALUE(A6) &amp; " - " &amp;B6</f>
        <v>1 - Seguridad social</v>
      </c>
    </row>
    <row r="7" spans="1:6" x14ac:dyDescent="0.25">
      <c r="A7" s="15">
        <v>2</v>
      </c>
      <c r="B7" s="21" t="s">
        <v>32</v>
      </c>
      <c r="C7" s="14">
        <v>42675</v>
      </c>
      <c r="D7" s="14"/>
      <c r="E7" s="32"/>
      <c r="F7" t="str">
        <f t="shared" ref="F7:F70" si="0">VALUE(A7) &amp; " - " &amp;B7</f>
        <v>2 - ISR</v>
      </c>
    </row>
    <row r="8" spans="1:6" x14ac:dyDescent="0.25">
      <c r="A8" s="15">
        <v>3</v>
      </c>
      <c r="B8" s="21" t="s">
        <v>88</v>
      </c>
      <c r="C8" s="14">
        <v>42675</v>
      </c>
      <c r="D8" s="14"/>
      <c r="E8" s="32"/>
      <c r="F8" t="str">
        <f t="shared" si="0"/>
        <v>3 - Aportaciones a retiro, cesantía en edad avanzada y vejez.</v>
      </c>
    </row>
    <row r="9" spans="1:6" x14ac:dyDescent="0.25">
      <c r="A9" s="15">
        <v>4</v>
      </c>
      <c r="B9" s="21" t="s">
        <v>89</v>
      </c>
      <c r="C9" s="14">
        <v>42675</v>
      </c>
      <c r="D9" s="14"/>
      <c r="E9" s="32"/>
      <c r="F9" t="str">
        <f t="shared" si="0"/>
        <v>4 - Otros</v>
      </c>
    </row>
    <row r="10" spans="1:6" x14ac:dyDescent="0.25">
      <c r="A10" s="15">
        <v>5</v>
      </c>
      <c r="B10" s="21" t="s">
        <v>90</v>
      </c>
      <c r="C10" s="14">
        <v>42675</v>
      </c>
      <c r="D10" s="14"/>
      <c r="E10" s="32"/>
      <c r="F10" t="str">
        <f t="shared" si="0"/>
        <v>5 - Aportaciones a Fondo de vivienda</v>
      </c>
    </row>
    <row r="11" spans="1:6" x14ac:dyDescent="0.25">
      <c r="A11" s="15">
        <v>6</v>
      </c>
      <c r="B11" s="21" t="s">
        <v>91</v>
      </c>
      <c r="C11" s="14">
        <v>42675</v>
      </c>
      <c r="D11" s="14"/>
      <c r="E11" s="32"/>
      <c r="F11" t="str">
        <f t="shared" si="0"/>
        <v>6 - Descuento por incapacidad</v>
      </c>
    </row>
    <row r="12" spans="1:6" x14ac:dyDescent="0.25">
      <c r="A12" s="15">
        <v>7</v>
      </c>
      <c r="B12" s="21" t="s">
        <v>92</v>
      </c>
      <c r="C12" s="14">
        <v>42675</v>
      </c>
      <c r="D12" s="14"/>
      <c r="E12" s="32"/>
      <c r="F12" t="str">
        <f t="shared" si="0"/>
        <v>7 - Pensión alimenticia</v>
      </c>
    </row>
    <row r="13" spans="1:6" x14ac:dyDescent="0.25">
      <c r="A13" s="15">
        <v>8</v>
      </c>
      <c r="B13" s="21" t="s">
        <v>93</v>
      </c>
      <c r="C13" s="14">
        <v>42675</v>
      </c>
      <c r="D13" s="14"/>
      <c r="E13" s="32"/>
      <c r="F13" t="str">
        <f t="shared" si="0"/>
        <v>8 - Renta</v>
      </c>
    </row>
    <row r="14" spans="1:6" x14ac:dyDescent="0.25">
      <c r="A14" s="15">
        <v>9</v>
      </c>
      <c r="B14" s="21" t="s">
        <v>94</v>
      </c>
      <c r="C14" s="14">
        <v>42675</v>
      </c>
      <c r="D14" s="14"/>
      <c r="E14" s="32"/>
      <c r="F14" t="str">
        <f t="shared" si="0"/>
        <v>9 - Préstamos provenientes del Fondo Nacional de la Vivienda para los Trabajadores</v>
      </c>
    </row>
    <row r="15" spans="1:6" x14ac:dyDescent="0.25">
      <c r="A15" s="15">
        <v>10</v>
      </c>
      <c r="B15" s="21" t="s">
        <v>95</v>
      </c>
      <c r="C15" s="14">
        <v>42675</v>
      </c>
      <c r="D15" s="14"/>
      <c r="E15" s="32"/>
      <c r="F15" t="str">
        <f t="shared" si="0"/>
        <v>10 - Pago por crédito de vivienda</v>
      </c>
    </row>
    <row r="16" spans="1:6" x14ac:dyDescent="0.25">
      <c r="A16" s="15">
        <v>11</v>
      </c>
      <c r="B16" s="21" t="s">
        <v>96</v>
      </c>
      <c r="C16" s="14">
        <v>42675</v>
      </c>
      <c r="D16" s="14"/>
      <c r="E16" s="32"/>
      <c r="F16" t="str">
        <f t="shared" si="0"/>
        <v>11 - Pago de abonos INFONACOT</v>
      </c>
    </row>
    <row r="17" spans="1:6" x14ac:dyDescent="0.25">
      <c r="A17" s="15">
        <v>12</v>
      </c>
      <c r="B17" s="21" t="s">
        <v>97</v>
      </c>
      <c r="C17" s="14">
        <v>42675</v>
      </c>
      <c r="D17" s="14"/>
      <c r="E17" s="32"/>
      <c r="F17" t="str">
        <f t="shared" si="0"/>
        <v>12 - Anticipo de salarios</v>
      </c>
    </row>
    <row r="18" spans="1:6" x14ac:dyDescent="0.25">
      <c r="A18" s="15">
        <v>13</v>
      </c>
      <c r="B18" s="21" t="s">
        <v>98</v>
      </c>
      <c r="C18" s="14">
        <v>42675</v>
      </c>
      <c r="D18" s="14"/>
      <c r="E18" s="32"/>
      <c r="F18" t="str">
        <f t="shared" si="0"/>
        <v>13 - Pagos hechos con exceso al trabajador</v>
      </c>
    </row>
    <row r="19" spans="1:6" x14ac:dyDescent="0.25">
      <c r="A19" s="15">
        <v>14</v>
      </c>
      <c r="B19" s="21" t="s">
        <v>99</v>
      </c>
      <c r="C19" s="14">
        <v>42675</v>
      </c>
      <c r="D19" s="14"/>
      <c r="E19" s="32"/>
      <c r="F19" t="str">
        <f t="shared" si="0"/>
        <v>14 - Errores</v>
      </c>
    </row>
    <row r="20" spans="1:6" x14ac:dyDescent="0.25">
      <c r="A20" s="15">
        <v>15</v>
      </c>
      <c r="B20" s="21" t="s">
        <v>100</v>
      </c>
      <c r="C20" s="14">
        <v>42675</v>
      </c>
      <c r="D20" s="14"/>
      <c r="E20" s="32"/>
      <c r="F20" t="str">
        <f t="shared" si="0"/>
        <v>15 - Pérdidas</v>
      </c>
    </row>
    <row r="21" spans="1:6" x14ac:dyDescent="0.25">
      <c r="A21" s="15">
        <v>16</v>
      </c>
      <c r="B21" s="21" t="s">
        <v>101</v>
      </c>
      <c r="C21" s="14">
        <v>42675</v>
      </c>
      <c r="D21" s="14"/>
      <c r="E21" s="32"/>
      <c r="F21" t="str">
        <f t="shared" si="0"/>
        <v>16 - Averías</v>
      </c>
    </row>
    <row r="22" spans="1:6" x14ac:dyDescent="0.25">
      <c r="A22" s="15">
        <v>17</v>
      </c>
      <c r="B22" s="21" t="s">
        <v>102</v>
      </c>
      <c r="C22" s="14">
        <v>42675</v>
      </c>
      <c r="D22" s="14"/>
      <c r="E22" s="32"/>
      <c r="F22" t="str">
        <f t="shared" si="0"/>
        <v>17 - Adquisición de artículos producidos por la empresa o establecimiento</v>
      </c>
    </row>
    <row r="23" spans="1:6" x14ac:dyDescent="0.25">
      <c r="A23" s="15">
        <v>18</v>
      </c>
      <c r="B23" s="21" t="s">
        <v>103</v>
      </c>
      <c r="C23" s="14">
        <v>42675</v>
      </c>
      <c r="D23" s="14"/>
      <c r="E23" s="32"/>
      <c r="F23" t="str">
        <f t="shared" si="0"/>
        <v>18 - Cuotas para la constitución y fomento de sociedades cooperativas y de cajas de ahorro</v>
      </c>
    </row>
    <row r="24" spans="1:6" x14ac:dyDescent="0.25">
      <c r="A24" s="15">
        <v>19</v>
      </c>
      <c r="B24" s="21" t="s">
        <v>104</v>
      </c>
      <c r="C24" s="14">
        <v>42675</v>
      </c>
      <c r="D24" s="14"/>
      <c r="E24" s="32"/>
      <c r="F24" t="str">
        <f t="shared" si="0"/>
        <v>19 - Cuotas sindicales</v>
      </c>
    </row>
    <row r="25" spans="1:6" x14ac:dyDescent="0.25">
      <c r="A25" s="15">
        <v>20</v>
      </c>
      <c r="B25" s="21" t="s">
        <v>105</v>
      </c>
      <c r="C25" s="14">
        <v>42675</v>
      </c>
      <c r="D25" s="14"/>
      <c r="E25" s="32"/>
      <c r="F25" t="str">
        <f t="shared" si="0"/>
        <v>20 - Ausencia (Ausentismo)</v>
      </c>
    </row>
    <row r="26" spans="1:6" x14ac:dyDescent="0.25">
      <c r="A26" s="15">
        <v>21</v>
      </c>
      <c r="B26" s="21" t="s">
        <v>106</v>
      </c>
      <c r="C26" s="14">
        <v>42675</v>
      </c>
      <c r="D26" s="14"/>
      <c r="E26" s="32"/>
      <c r="F26" t="str">
        <f t="shared" si="0"/>
        <v>21 - Cuotas obrero patronales</v>
      </c>
    </row>
    <row r="27" spans="1:6" x14ac:dyDescent="0.25">
      <c r="A27" s="15">
        <v>22</v>
      </c>
      <c r="B27" s="21" t="s">
        <v>107</v>
      </c>
      <c r="C27" s="14">
        <v>42675</v>
      </c>
      <c r="D27" s="14"/>
      <c r="E27" s="19"/>
      <c r="F27" t="str">
        <f t="shared" si="0"/>
        <v>22 - Impuestos Locales</v>
      </c>
    </row>
    <row r="28" spans="1:6" x14ac:dyDescent="0.25">
      <c r="A28" s="15">
        <v>23</v>
      </c>
      <c r="B28" s="21" t="s">
        <v>108</v>
      </c>
      <c r="C28" s="14">
        <v>42675</v>
      </c>
      <c r="D28" s="14"/>
      <c r="E28" s="19"/>
      <c r="F28" t="str">
        <f t="shared" si="0"/>
        <v>23 - Aportaciones voluntarias</v>
      </c>
    </row>
    <row r="29" spans="1:6" x14ac:dyDescent="0.25">
      <c r="A29" s="33">
        <v>24</v>
      </c>
      <c r="B29" s="34" t="s">
        <v>109</v>
      </c>
      <c r="C29" s="14">
        <v>42741</v>
      </c>
      <c r="D29" s="14"/>
      <c r="E29" s="19"/>
      <c r="F29" t="str">
        <f t="shared" si="0"/>
        <v>24 - Ajuste en Gratificación Anual (Aguinaldo) Exento</v>
      </c>
    </row>
    <row r="30" spans="1:6" x14ac:dyDescent="0.25">
      <c r="A30" s="33">
        <v>25</v>
      </c>
      <c r="B30" s="34" t="s">
        <v>110</v>
      </c>
      <c r="C30" s="14">
        <v>42741</v>
      </c>
      <c r="D30" s="14"/>
      <c r="E30" s="19"/>
      <c r="F30" t="str">
        <f t="shared" si="0"/>
        <v>25 - Ajuste en Gratificación Anual (Aguinaldo) Gravado</v>
      </c>
    </row>
    <row r="31" spans="1:6" x14ac:dyDescent="0.25">
      <c r="A31" s="33">
        <v>26</v>
      </c>
      <c r="B31" s="34" t="s">
        <v>111</v>
      </c>
      <c r="C31" s="14">
        <v>42741</v>
      </c>
      <c r="D31" s="14"/>
      <c r="E31" s="19"/>
      <c r="F31" t="str">
        <f t="shared" si="0"/>
        <v>26 - Ajuste en Participación de los Trabajadores en las Utilidades PTU Exento</v>
      </c>
    </row>
    <row r="32" spans="1:6" x14ac:dyDescent="0.25">
      <c r="A32" s="33">
        <v>27</v>
      </c>
      <c r="B32" s="34" t="s">
        <v>112</v>
      </c>
      <c r="C32" s="14">
        <v>42741</v>
      </c>
      <c r="D32" s="14"/>
      <c r="E32" s="19"/>
      <c r="F32" t="str">
        <f t="shared" si="0"/>
        <v>27 - Ajuste en Participación de los Trabajadores en las Utilidades PTU Gravado</v>
      </c>
    </row>
    <row r="33" spans="1:6" x14ac:dyDescent="0.25">
      <c r="A33" s="33">
        <v>28</v>
      </c>
      <c r="B33" s="34" t="s">
        <v>113</v>
      </c>
      <c r="C33" s="14">
        <v>42741</v>
      </c>
      <c r="D33" s="14"/>
      <c r="E33" s="19"/>
      <c r="F33" t="str">
        <f t="shared" si="0"/>
        <v>28 - Ajuste en Reembolso de Gastos Médicos Dentales y Hospitalarios Exento</v>
      </c>
    </row>
    <row r="34" spans="1:6" x14ac:dyDescent="0.25">
      <c r="A34" s="33">
        <v>29</v>
      </c>
      <c r="B34" s="34" t="s">
        <v>114</v>
      </c>
      <c r="C34" s="14">
        <v>42741</v>
      </c>
      <c r="D34" s="14"/>
      <c r="E34" s="19"/>
      <c r="F34" t="str">
        <f t="shared" si="0"/>
        <v>29 - Ajuste en Fondo de ahorro Exento</v>
      </c>
    </row>
    <row r="35" spans="1:6" x14ac:dyDescent="0.25">
      <c r="A35" s="33">
        <v>30</v>
      </c>
      <c r="B35" s="34" t="s">
        <v>115</v>
      </c>
      <c r="C35" s="14">
        <v>42741</v>
      </c>
      <c r="D35" s="14"/>
      <c r="E35" s="19"/>
      <c r="F35" t="str">
        <f t="shared" si="0"/>
        <v>30 - Ajuste en Caja de ahorro Exento</v>
      </c>
    </row>
    <row r="36" spans="1:6" x14ac:dyDescent="0.25">
      <c r="A36" s="33">
        <v>31</v>
      </c>
      <c r="B36" s="34" t="s">
        <v>116</v>
      </c>
      <c r="C36" s="14">
        <v>42741</v>
      </c>
      <c r="D36" s="14"/>
      <c r="E36" s="19"/>
      <c r="F36" t="str">
        <f t="shared" si="0"/>
        <v>31 - Ajuste en Contribuciones a Cargo del Trabajador Pagadas por el Patrón Exento</v>
      </c>
    </row>
    <row r="37" spans="1:6" x14ac:dyDescent="0.25">
      <c r="A37" s="33">
        <v>32</v>
      </c>
      <c r="B37" s="34" t="s">
        <v>117</v>
      </c>
      <c r="C37" s="14">
        <v>42741</v>
      </c>
      <c r="D37" s="14"/>
      <c r="E37" s="19"/>
      <c r="F37" t="str">
        <f t="shared" si="0"/>
        <v>32 - Ajuste en Premios por puntualidad Gravado</v>
      </c>
    </row>
    <row r="38" spans="1:6" x14ac:dyDescent="0.25">
      <c r="A38" s="33">
        <v>33</v>
      </c>
      <c r="B38" s="34" t="s">
        <v>118</v>
      </c>
      <c r="C38" s="14">
        <v>42741</v>
      </c>
      <c r="D38" s="14"/>
      <c r="E38" s="19"/>
      <c r="F38" t="str">
        <f t="shared" si="0"/>
        <v>33 - Ajuste en Prima de Seguro de vida Exento</v>
      </c>
    </row>
    <row r="39" spans="1:6" x14ac:dyDescent="0.25">
      <c r="A39" s="33">
        <v>34</v>
      </c>
      <c r="B39" s="34" t="s">
        <v>119</v>
      </c>
      <c r="C39" s="14">
        <v>42741</v>
      </c>
      <c r="D39" s="14"/>
      <c r="E39" s="19"/>
      <c r="F39" t="str">
        <f t="shared" si="0"/>
        <v>34 - Ajuste en Seguro de Gastos Médicos Mayores Exento</v>
      </c>
    </row>
    <row r="40" spans="1:6" x14ac:dyDescent="0.25">
      <c r="A40" s="33">
        <v>35</v>
      </c>
      <c r="B40" s="34" t="s">
        <v>120</v>
      </c>
      <c r="C40" s="14">
        <v>42741</v>
      </c>
      <c r="D40" s="14"/>
      <c r="E40" s="19"/>
      <c r="F40" t="str">
        <f t="shared" si="0"/>
        <v>35 - Ajuste en Cuotas Sindicales Pagadas por el Patrón Exento</v>
      </c>
    </row>
    <row r="41" spans="1:6" x14ac:dyDescent="0.25">
      <c r="A41" s="33">
        <v>36</v>
      </c>
      <c r="B41" s="34" t="s">
        <v>121</v>
      </c>
      <c r="C41" s="14">
        <v>42741</v>
      </c>
      <c r="D41" s="14"/>
      <c r="E41" s="19"/>
      <c r="F41" t="str">
        <f t="shared" si="0"/>
        <v>36 - Ajuste en Subsidios por incapacidad Exento</v>
      </c>
    </row>
    <row r="42" spans="1:6" x14ac:dyDescent="0.25">
      <c r="A42" s="33">
        <v>37</v>
      </c>
      <c r="B42" s="34" t="s">
        <v>122</v>
      </c>
      <c r="C42" s="14">
        <v>42741</v>
      </c>
      <c r="D42" s="14"/>
      <c r="E42" s="19"/>
      <c r="F42" t="str">
        <f t="shared" si="0"/>
        <v>37 - Ajuste en Becas para trabajadores y/o hijos Exento</v>
      </c>
    </row>
    <row r="43" spans="1:6" x14ac:dyDescent="0.25">
      <c r="A43" s="33">
        <v>38</v>
      </c>
      <c r="B43" s="34" t="s">
        <v>123</v>
      </c>
      <c r="C43" s="14">
        <v>42741</v>
      </c>
      <c r="D43" s="14"/>
      <c r="E43" s="19"/>
      <c r="F43" t="str">
        <f t="shared" si="0"/>
        <v>38 - Ajuste en Horas extra Exento</v>
      </c>
    </row>
    <row r="44" spans="1:6" x14ac:dyDescent="0.25">
      <c r="A44" s="33">
        <v>39</v>
      </c>
      <c r="B44" s="34" t="s">
        <v>124</v>
      </c>
      <c r="C44" s="14">
        <v>42741</v>
      </c>
      <c r="D44" s="14"/>
      <c r="E44" s="19"/>
      <c r="F44" t="str">
        <f t="shared" si="0"/>
        <v>39 - Ajuste en Horas extra Gravado</v>
      </c>
    </row>
    <row r="45" spans="1:6" x14ac:dyDescent="0.25">
      <c r="A45" s="33">
        <v>40</v>
      </c>
      <c r="B45" s="34" t="s">
        <v>125</v>
      </c>
      <c r="C45" s="14">
        <v>42741</v>
      </c>
      <c r="D45" s="14"/>
      <c r="E45" s="19"/>
      <c r="F45" t="str">
        <f t="shared" si="0"/>
        <v>40 - Ajuste en Prima dominical Exento</v>
      </c>
    </row>
    <row r="46" spans="1:6" x14ac:dyDescent="0.25">
      <c r="A46" s="33">
        <v>41</v>
      </c>
      <c r="B46" s="34" t="s">
        <v>126</v>
      </c>
      <c r="C46" s="14">
        <v>42741</v>
      </c>
      <c r="D46" s="14"/>
      <c r="E46" s="19"/>
      <c r="F46" t="str">
        <f t="shared" si="0"/>
        <v>41 - Ajuste en Prima dominical Gravado</v>
      </c>
    </row>
    <row r="47" spans="1:6" x14ac:dyDescent="0.25">
      <c r="A47" s="33">
        <v>42</v>
      </c>
      <c r="B47" s="34" t="s">
        <v>127</v>
      </c>
      <c r="C47" s="14">
        <v>42741</v>
      </c>
      <c r="D47" s="14"/>
      <c r="E47" s="19"/>
      <c r="F47" t="str">
        <f t="shared" si="0"/>
        <v>42 - Ajuste en Prima vacacional Exento</v>
      </c>
    </row>
    <row r="48" spans="1:6" x14ac:dyDescent="0.25">
      <c r="A48" s="33">
        <v>43</v>
      </c>
      <c r="B48" s="34" t="s">
        <v>128</v>
      </c>
      <c r="C48" s="14">
        <v>42741</v>
      </c>
      <c r="D48" s="14"/>
      <c r="E48" s="19"/>
      <c r="F48" t="str">
        <f t="shared" si="0"/>
        <v>43 - Ajuste en Prima vacacional Gravado</v>
      </c>
    </row>
    <row r="49" spans="1:6" x14ac:dyDescent="0.25">
      <c r="A49" s="33">
        <v>44</v>
      </c>
      <c r="B49" s="34" t="s">
        <v>129</v>
      </c>
      <c r="C49" s="14">
        <v>42741</v>
      </c>
      <c r="D49" s="14"/>
      <c r="E49" s="19"/>
      <c r="F49" t="str">
        <f t="shared" si="0"/>
        <v>44 - Ajuste en Prima por antigüedad Exento</v>
      </c>
    </row>
    <row r="50" spans="1:6" x14ac:dyDescent="0.25">
      <c r="A50" s="33">
        <v>45</v>
      </c>
      <c r="B50" s="34" t="s">
        <v>130</v>
      </c>
      <c r="C50" s="14">
        <v>42741</v>
      </c>
      <c r="D50" s="14"/>
      <c r="E50" s="19"/>
      <c r="F50" t="str">
        <f t="shared" si="0"/>
        <v>45 - Ajuste en Prima por antigüedad Gravado</v>
      </c>
    </row>
    <row r="51" spans="1:6" x14ac:dyDescent="0.25">
      <c r="A51" s="33">
        <v>46</v>
      </c>
      <c r="B51" s="34" t="s">
        <v>131</v>
      </c>
      <c r="C51" s="14">
        <v>42741</v>
      </c>
      <c r="D51" s="14"/>
      <c r="E51" s="19"/>
      <c r="F51" t="str">
        <f t="shared" si="0"/>
        <v>46 - Ajuste en Pagos por separación Exento</v>
      </c>
    </row>
    <row r="52" spans="1:6" x14ac:dyDescent="0.25">
      <c r="A52" s="33">
        <v>47</v>
      </c>
      <c r="B52" s="34" t="s">
        <v>132</v>
      </c>
      <c r="C52" s="14">
        <v>42741</v>
      </c>
      <c r="D52" s="14"/>
      <c r="E52" s="19"/>
      <c r="F52" t="str">
        <f t="shared" si="0"/>
        <v>47 - Ajuste en Pagos por separación Gravado</v>
      </c>
    </row>
    <row r="53" spans="1:6" x14ac:dyDescent="0.25">
      <c r="A53" s="33">
        <v>48</v>
      </c>
      <c r="B53" s="34" t="s">
        <v>133</v>
      </c>
      <c r="C53" s="14">
        <v>42741</v>
      </c>
      <c r="D53" s="14"/>
      <c r="E53" s="19"/>
      <c r="F53" t="str">
        <f t="shared" si="0"/>
        <v>48 - Ajuste en Seguro de retiro Exento</v>
      </c>
    </row>
    <row r="54" spans="1:6" x14ac:dyDescent="0.25">
      <c r="A54" s="33">
        <v>49</v>
      </c>
      <c r="B54" s="34" t="s">
        <v>134</v>
      </c>
      <c r="C54" s="14">
        <v>42741</v>
      </c>
      <c r="D54" s="14"/>
      <c r="E54" s="19"/>
      <c r="F54" t="str">
        <f t="shared" si="0"/>
        <v>49 - Ajuste en Indemnizaciones Exento</v>
      </c>
    </row>
    <row r="55" spans="1:6" x14ac:dyDescent="0.25">
      <c r="A55" s="33">
        <v>50</v>
      </c>
      <c r="B55" s="34" t="s">
        <v>135</v>
      </c>
      <c r="C55" s="14">
        <v>42741</v>
      </c>
      <c r="D55" s="14"/>
      <c r="E55" s="19"/>
      <c r="F55" t="str">
        <f t="shared" si="0"/>
        <v>50 - Ajuste en Indemnizaciones Gravado</v>
      </c>
    </row>
    <row r="56" spans="1:6" x14ac:dyDescent="0.25">
      <c r="A56" s="33">
        <v>51</v>
      </c>
      <c r="B56" s="34" t="s">
        <v>136</v>
      </c>
      <c r="C56" s="14">
        <v>42741</v>
      </c>
      <c r="D56" s="14"/>
      <c r="E56" s="19"/>
      <c r="F56" t="str">
        <f t="shared" si="0"/>
        <v>51 - Ajuste en Reembolso por funeral Exento</v>
      </c>
    </row>
    <row r="57" spans="1:6" x14ac:dyDescent="0.25">
      <c r="A57" s="33">
        <v>52</v>
      </c>
      <c r="B57" s="34" t="s">
        <v>137</v>
      </c>
      <c r="C57" s="14">
        <v>42741</v>
      </c>
      <c r="D57" s="14"/>
      <c r="E57" s="19"/>
      <c r="F57" t="str">
        <f t="shared" si="0"/>
        <v>52 - Ajuste en Cuotas de seguridad social pagadas por el patrón Exento</v>
      </c>
    </row>
    <row r="58" spans="1:6" x14ac:dyDescent="0.25">
      <c r="A58" s="33">
        <v>53</v>
      </c>
      <c r="B58" s="34" t="s">
        <v>138</v>
      </c>
      <c r="C58" s="14">
        <v>42741</v>
      </c>
      <c r="D58" s="14"/>
      <c r="E58" s="19"/>
      <c r="F58" t="str">
        <f t="shared" si="0"/>
        <v>53 - Ajuste en Comisiones Gravado</v>
      </c>
    </row>
    <row r="59" spans="1:6" x14ac:dyDescent="0.25">
      <c r="A59" s="33">
        <v>54</v>
      </c>
      <c r="B59" s="34" t="s">
        <v>139</v>
      </c>
      <c r="C59" s="14">
        <v>42741</v>
      </c>
      <c r="D59" s="14"/>
      <c r="E59" s="19"/>
      <c r="F59" t="str">
        <f t="shared" si="0"/>
        <v>54 - Ajuste en Vales de despensa Exento</v>
      </c>
    </row>
    <row r="60" spans="1:6" x14ac:dyDescent="0.25">
      <c r="A60" s="33">
        <v>55</v>
      </c>
      <c r="B60" s="34" t="s">
        <v>140</v>
      </c>
      <c r="C60" s="14">
        <v>42741</v>
      </c>
      <c r="D60" s="14"/>
      <c r="E60" s="19"/>
      <c r="F60" t="str">
        <f t="shared" si="0"/>
        <v>55 - Ajuste en Vales de restaurante Exento</v>
      </c>
    </row>
    <row r="61" spans="1:6" x14ac:dyDescent="0.25">
      <c r="A61" s="33">
        <v>56</v>
      </c>
      <c r="B61" s="34" t="s">
        <v>141</v>
      </c>
      <c r="C61" s="14">
        <v>42741</v>
      </c>
      <c r="D61" s="14"/>
      <c r="E61" s="19"/>
      <c r="F61" t="str">
        <f t="shared" si="0"/>
        <v>56 - Ajuste en Vales de gasolina Exento</v>
      </c>
    </row>
    <row r="62" spans="1:6" x14ac:dyDescent="0.25">
      <c r="A62" s="33">
        <v>57</v>
      </c>
      <c r="B62" s="34" t="s">
        <v>142</v>
      </c>
      <c r="C62" s="14">
        <v>42741</v>
      </c>
      <c r="D62" s="14"/>
      <c r="E62" s="19"/>
      <c r="F62" t="str">
        <f t="shared" si="0"/>
        <v>57 - Ajuste en Vales de ropa Exento</v>
      </c>
    </row>
    <row r="63" spans="1:6" x14ac:dyDescent="0.25">
      <c r="A63" s="33">
        <v>58</v>
      </c>
      <c r="B63" s="34" t="s">
        <v>143</v>
      </c>
      <c r="C63" s="14">
        <v>42741</v>
      </c>
      <c r="D63" s="14"/>
      <c r="E63" s="19"/>
      <c r="F63" t="str">
        <f t="shared" si="0"/>
        <v>58 - Ajuste en Ayuda para renta Exento</v>
      </c>
    </row>
    <row r="64" spans="1:6" x14ac:dyDescent="0.25">
      <c r="A64" s="33">
        <v>59</v>
      </c>
      <c r="B64" s="34" t="s">
        <v>144</v>
      </c>
      <c r="C64" s="14">
        <v>42741</v>
      </c>
      <c r="D64" s="14"/>
      <c r="E64" s="19"/>
      <c r="F64" t="str">
        <f t="shared" si="0"/>
        <v>59 - Ajuste en Ayuda para artículos escolares Exento</v>
      </c>
    </row>
    <row r="65" spans="1:6" x14ac:dyDescent="0.25">
      <c r="A65" s="33">
        <v>60</v>
      </c>
      <c r="B65" s="34" t="s">
        <v>145</v>
      </c>
      <c r="C65" s="14">
        <v>42741</v>
      </c>
      <c r="D65" s="14"/>
      <c r="E65" s="19"/>
      <c r="F65" t="str">
        <f t="shared" si="0"/>
        <v>60 - Ajuste en Ayuda para anteojos Exento</v>
      </c>
    </row>
    <row r="66" spans="1:6" x14ac:dyDescent="0.25">
      <c r="A66" s="33">
        <v>61</v>
      </c>
      <c r="B66" s="34" t="s">
        <v>146</v>
      </c>
      <c r="C66" s="14">
        <v>42741</v>
      </c>
      <c r="D66" s="14"/>
      <c r="E66" s="19"/>
      <c r="F66" t="str">
        <f t="shared" si="0"/>
        <v>61 - Ajuste en Ayuda para transporte Exento</v>
      </c>
    </row>
    <row r="67" spans="1:6" x14ac:dyDescent="0.25">
      <c r="A67" s="33">
        <v>62</v>
      </c>
      <c r="B67" s="34" t="s">
        <v>147</v>
      </c>
      <c r="C67" s="14">
        <v>42741</v>
      </c>
      <c r="D67" s="14"/>
      <c r="E67" s="19"/>
      <c r="F67" t="str">
        <f t="shared" si="0"/>
        <v>62 - Ajuste en Ayuda para gastos de funeral Exento</v>
      </c>
    </row>
    <row r="68" spans="1:6" x14ac:dyDescent="0.25">
      <c r="A68" s="33">
        <v>63</v>
      </c>
      <c r="B68" s="34" t="s">
        <v>148</v>
      </c>
      <c r="C68" s="14">
        <v>42741</v>
      </c>
      <c r="D68" s="14"/>
      <c r="E68" s="19"/>
      <c r="F68" t="str">
        <f t="shared" si="0"/>
        <v>63 - Ajuste en Otros ingresos por salarios Exento</v>
      </c>
    </row>
    <row r="69" spans="1:6" x14ac:dyDescent="0.25">
      <c r="A69" s="33">
        <v>64</v>
      </c>
      <c r="B69" s="34" t="s">
        <v>149</v>
      </c>
      <c r="C69" s="14">
        <v>42741</v>
      </c>
      <c r="D69" s="14"/>
      <c r="E69" s="19"/>
      <c r="F69" t="str">
        <f t="shared" si="0"/>
        <v>64 - Ajuste en Otros ingresos por salarios Gravado</v>
      </c>
    </row>
    <row r="70" spans="1:6" x14ac:dyDescent="0.25">
      <c r="A70" s="33">
        <v>65</v>
      </c>
      <c r="B70" s="34" t="s">
        <v>150</v>
      </c>
      <c r="C70" s="14">
        <v>43388</v>
      </c>
      <c r="D70" s="14"/>
      <c r="E70" s="19"/>
      <c r="F70" t="str">
        <f t="shared" si="0"/>
        <v xml:space="preserve">65 - Ajuste en Jubilaciones, pensiones o haberes de retiro en una sola exhibición Exento </v>
      </c>
    </row>
    <row r="71" spans="1:6" x14ac:dyDescent="0.25">
      <c r="A71" s="33">
        <v>66</v>
      </c>
      <c r="B71" s="34" t="s">
        <v>151</v>
      </c>
      <c r="C71" s="14">
        <v>43388</v>
      </c>
      <c r="D71" s="14"/>
      <c r="E71" s="19"/>
      <c r="F71" t="str">
        <f t="shared" ref="F71:F112" si="1">VALUE(A71) &amp; " - " &amp;B71</f>
        <v>66 - Ajuste en Jubilaciones, pensiones o haberes de retiro en una sola exhibición Gravado</v>
      </c>
    </row>
    <row r="72" spans="1:6" x14ac:dyDescent="0.25">
      <c r="A72" s="33">
        <v>67</v>
      </c>
      <c r="B72" s="34" t="s">
        <v>152</v>
      </c>
      <c r="C72" s="14">
        <v>42741</v>
      </c>
      <c r="D72" s="14"/>
      <c r="E72" s="19"/>
      <c r="F72" t="str">
        <f t="shared" si="1"/>
        <v>67 - Ajuste en Pagos por separación Acumulable</v>
      </c>
    </row>
    <row r="73" spans="1:6" x14ac:dyDescent="0.25">
      <c r="A73" s="33">
        <v>68</v>
      </c>
      <c r="B73" s="34" t="s">
        <v>153</v>
      </c>
      <c r="C73" s="14">
        <v>42741</v>
      </c>
      <c r="D73" s="14"/>
      <c r="E73" s="19"/>
      <c r="F73" t="str">
        <f t="shared" si="1"/>
        <v>68 - Ajuste en Pagos por separación No acumulable</v>
      </c>
    </row>
    <row r="74" spans="1:6" x14ac:dyDescent="0.25">
      <c r="A74" s="33">
        <v>69</v>
      </c>
      <c r="B74" s="34" t="s">
        <v>154</v>
      </c>
      <c r="C74" s="14">
        <v>43388</v>
      </c>
      <c r="D74" s="14"/>
      <c r="E74" s="19"/>
      <c r="F74" t="str">
        <f t="shared" si="1"/>
        <v>69 - Ajuste en Jubilaciones, pensiones o haberes de retiro en parcialidades Exento</v>
      </c>
    </row>
    <row r="75" spans="1:6" x14ac:dyDescent="0.25">
      <c r="A75" s="33">
        <v>70</v>
      </c>
      <c r="B75" s="34" t="s">
        <v>155</v>
      </c>
      <c r="C75" s="14">
        <v>43388</v>
      </c>
      <c r="D75" s="14"/>
      <c r="E75" s="19"/>
      <c r="F75" t="str">
        <f t="shared" si="1"/>
        <v>70 - Ajuste en Jubilaciones, pensiones o haberes de retiro en parcialidades Gravado</v>
      </c>
    </row>
    <row r="76" spans="1:6" x14ac:dyDescent="0.25">
      <c r="A76" s="33">
        <v>71</v>
      </c>
      <c r="B76" s="35" t="s">
        <v>156</v>
      </c>
      <c r="C76" s="14">
        <v>42741</v>
      </c>
      <c r="D76" s="14"/>
      <c r="E76" s="19"/>
      <c r="F76" t="str">
        <f t="shared" si="1"/>
        <v>71 - Ajuste en Subsidio para el empleo (efectivamente entregado al trabajador)</v>
      </c>
    </row>
    <row r="77" spans="1:6" x14ac:dyDescent="0.25">
      <c r="A77" s="33">
        <v>72</v>
      </c>
      <c r="B77" s="34" t="s">
        <v>157</v>
      </c>
      <c r="C77" s="14">
        <v>42741</v>
      </c>
      <c r="D77" s="14">
        <v>43387</v>
      </c>
      <c r="E77" s="19"/>
      <c r="F77" t="str">
        <f t="shared" si="1"/>
        <v>72 - Ajuste en Ingresos en acciones o títulos valor que representan bienes Exento</v>
      </c>
    </row>
    <row r="78" spans="1:6" x14ac:dyDescent="0.25">
      <c r="A78" s="33">
        <v>73</v>
      </c>
      <c r="B78" s="34" t="s">
        <v>158</v>
      </c>
      <c r="C78" s="14">
        <v>42741</v>
      </c>
      <c r="D78" s="14"/>
      <c r="E78" s="19"/>
      <c r="F78" t="str">
        <f t="shared" si="1"/>
        <v>73 - Ajuste en Ingresos en acciones o títulos valor que representan bienes Gravado</v>
      </c>
    </row>
    <row r="79" spans="1:6" x14ac:dyDescent="0.25">
      <c r="A79" s="33">
        <v>74</v>
      </c>
      <c r="B79" s="23" t="s">
        <v>159</v>
      </c>
      <c r="C79" s="14">
        <v>42741</v>
      </c>
      <c r="D79" s="14"/>
      <c r="E79" s="19"/>
      <c r="F79" t="str">
        <f t="shared" si="1"/>
        <v>74 - Ajuste en Alimentación Exento</v>
      </c>
    </row>
    <row r="80" spans="1:6" x14ac:dyDescent="0.25">
      <c r="A80" s="33">
        <v>75</v>
      </c>
      <c r="B80" s="23" t="s">
        <v>160</v>
      </c>
      <c r="C80" s="14">
        <v>42741</v>
      </c>
      <c r="D80" s="14"/>
      <c r="E80" s="19"/>
      <c r="F80" t="str">
        <f t="shared" si="1"/>
        <v>75 - Ajuste en Alimentación Gravado</v>
      </c>
    </row>
    <row r="81" spans="1:6" x14ac:dyDescent="0.25">
      <c r="A81" s="33">
        <v>76</v>
      </c>
      <c r="B81" s="23" t="s">
        <v>161</v>
      </c>
      <c r="C81" s="14">
        <v>42741</v>
      </c>
      <c r="D81" s="14"/>
      <c r="E81" s="19"/>
      <c r="F81" t="str">
        <f t="shared" si="1"/>
        <v>76 - Ajuste en Habitación Exento</v>
      </c>
    </row>
    <row r="82" spans="1:6" x14ac:dyDescent="0.25">
      <c r="A82" s="33">
        <v>77</v>
      </c>
      <c r="B82" s="23" t="s">
        <v>162</v>
      </c>
      <c r="C82" s="14">
        <v>42741</v>
      </c>
      <c r="D82" s="14"/>
      <c r="E82" s="19"/>
      <c r="F82" t="str">
        <f t="shared" si="1"/>
        <v>77 - Ajuste en Habitación Gravado</v>
      </c>
    </row>
    <row r="83" spans="1:6" x14ac:dyDescent="0.25">
      <c r="A83" s="33">
        <v>78</v>
      </c>
      <c r="B83" s="23" t="s">
        <v>163</v>
      </c>
      <c r="C83" s="14">
        <v>42741</v>
      </c>
      <c r="D83" s="14"/>
      <c r="E83" s="19"/>
      <c r="F83" t="str">
        <f t="shared" si="1"/>
        <v>78 - Ajuste en Premios por asistencia</v>
      </c>
    </row>
    <row r="84" spans="1:6" x14ac:dyDescent="0.25">
      <c r="A84" s="33">
        <v>79</v>
      </c>
      <c r="B84" s="23" t="s">
        <v>164</v>
      </c>
      <c r="C84" s="14">
        <v>42741</v>
      </c>
      <c r="D84" s="14"/>
      <c r="E84" s="19"/>
      <c r="F84" t="str">
        <f t="shared" si="1"/>
        <v>79 - Ajuste en Pagos distintos a los listados y que no deben considerarse como ingreso por sueldos, salarios o ingresos asimilados.</v>
      </c>
    </row>
    <row r="85" spans="1:6" x14ac:dyDescent="0.25">
      <c r="A85" s="33">
        <v>80</v>
      </c>
      <c r="B85" s="23" t="s">
        <v>165</v>
      </c>
      <c r="C85" s="14">
        <v>42741</v>
      </c>
      <c r="D85" s="14"/>
      <c r="E85" s="19"/>
      <c r="F85" t="str">
        <f t="shared" si="1"/>
        <v>80 - Ajuste en Viáticos gravados</v>
      </c>
    </row>
    <row r="86" spans="1:6" x14ac:dyDescent="0.25">
      <c r="A86" s="33">
        <v>81</v>
      </c>
      <c r="B86" s="23" t="s">
        <v>166</v>
      </c>
      <c r="C86" s="14">
        <v>42741</v>
      </c>
      <c r="D86" s="14"/>
      <c r="E86" s="19"/>
      <c r="F86" t="str">
        <f t="shared" si="1"/>
        <v>81 - Ajuste en Viáticos (entregados al trabajador)</v>
      </c>
    </row>
    <row r="87" spans="1:6" x14ac:dyDescent="0.25">
      <c r="A87" s="36" t="s">
        <v>167</v>
      </c>
      <c r="B87" s="34" t="s">
        <v>168</v>
      </c>
      <c r="C87" s="14">
        <v>42741</v>
      </c>
      <c r="D87" s="14"/>
      <c r="E87" s="19"/>
      <c r="F87" t="str">
        <f t="shared" si="1"/>
        <v>82 - Ajuste en Fondo de ahorro Gravado</v>
      </c>
    </row>
    <row r="88" spans="1:6" x14ac:dyDescent="0.25">
      <c r="A88" s="36" t="s">
        <v>169</v>
      </c>
      <c r="B88" s="34" t="s">
        <v>170</v>
      </c>
      <c r="C88" s="14">
        <v>42741</v>
      </c>
      <c r="D88" s="14"/>
      <c r="E88" s="19"/>
      <c r="F88" t="str">
        <f t="shared" si="1"/>
        <v>83 - Ajuste en Caja de ahorro Gravado</v>
      </c>
    </row>
    <row r="89" spans="1:6" x14ac:dyDescent="0.25">
      <c r="A89" s="36" t="s">
        <v>171</v>
      </c>
      <c r="B89" s="34" t="s">
        <v>172</v>
      </c>
      <c r="C89" s="14">
        <v>42741</v>
      </c>
      <c r="D89" s="14"/>
      <c r="E89" s="19"/>
      <c r="F89" t="str">
        <f t="shared" si="1"/>
        <v>84 - Ajuste en Prima de Seguro de vida Gravado</v>
      </c>
    </row>
    <row r="90" spans="1:6" x14ac:dyDescent="0.25">
      <c r="A90" s="36" t="s">
        <v>173</v>
      </c>
      <c r="B90" s="34" t="s">
        <v>174</v>
      </c>
      <c r="C90" s="14">
        <v>42741</v>
      </c>
      <c r="D90" s="14"/>
      <c r="E90" s="19"/>
      <c r="F90" t="str">
        <f t="shared" si="1"/>
        <v>85 - Ajuste en Seguro de Gastos Médicos Mayores Gravado</v>
      </c>
    </row>
    <row r="91" spans="1:6" x14ac:dyDescent="0.25">
      <c r="A91" s="36" t="s">
        <v>175</v>
      </c>
      <c r="B91" s="34" t="s">
        <v>176</v>
      </c>
      <c r="C91" s="14">
        <v>42741</v>
      </c>
      <c r="D91" s="14"/>
      <c r="E91" s="19"/>
      <c r="F91" t="str">
        <f t="shared" si="1"/>
        <v>86 - Ajuste en Subsidios por incapacidad Gravado</v>
      </c>
    </row>
    <row r="92" spans="1:6" x14ac:dyDescent="0.25">
      <c r="A92" s="36" t="s">
        <v>177</v>
      </c>
      <c r="B92" s="34" t="s">
        <v>178</v>
      </c>
      <c r="C92" s="14">
        <v>42741</v>
      </c>
      <c r="D92" s="14"/>
      <c r="E92" s="19"/>
      <c r="F92" t="str">
        <f t="shared" si="1"/>
        <v>87 - Ajuste en Becas para trabajadores y/o hijos Gravado</v>
      </c>
    </row>
    <row r="93" spans="1:6" x14ac:dyDescent="0.25">
      <c r="A93" s="36" t="s">
        <v>179</v>
      </c>
      <c r="B93" s="34" t="s">
        <v>180</v>
      </c>
      <c r="C93" s="14">
        <v>42741</v>
      </c>
      <c r="D93" s="14"/>
      <c r="E93" s="19"/>
      <c r="F93" t="str">
        <f t="shared" si="1"/>
        <v>88 - Ajuste en Seguro de retiro Gravado</v>
      </c>
    </row>
    <row r="94" spans="1:6" x14ac:dyDescent="0.25">
      <c r="A94" s="36" t="s">
        <v>181</v>
      </c>
      <c r="B94" s="34" t="s">
        <v>182</v>
      </c>
      <c r="C94" s="14">
        <v>42741</v>
      </c>
      <c r="D94" s="14"/>
      <c r="E94" s="19"/>
      <c r="F94" t="str">
        <f t="shared" si="1"/>
        <v>89 - Ajuste en Vales de despensa Gravado</v>
      </c>
    </row>
    <row r="95" spans="1:6" x14ac:dyDescent="0.25">
      <c r="A95" s="36" t="s">
        <v>183</v>
      </c>
      <c r="B95" s="34" t="s">
        <v>184</v>
      </c>
      <c r="C95" s="14">
        <v>42741</v>
      </c>
      <c r="D95" s="14"/>
      <c r="E95" s="19"/>
      <c r="F95" t="str">
        <f t="shared" si="1"/>
        <v>90 - Ajuste en Vales de restaurante Gravado</v>
      </c>
    </row>
    <row r="96" spans="1:6" x14ac:dyDescent="0.25">
      <c r="A96" s="36" t="s">
        <v>185</v>
      </c>
      <c r="B96" s="34" t="s">
        <v>186</v>
      </c>
      <c r="C96" s="14">
        <v>42741</v>
      </c>
      <c r="D96" s="14"/>
      <c r="E96" s="19"/>
      <c r="F96" t="str">
        <f t="shared" si="1"/>
        <v>91 - Ajuste en Vales de gasolina Gravado</v>
      </c>
    </row>
    <row r="97" spans="1:6" x14ac:dyDescent="0.25">
      <c r="A97" s="36" t="s">
        <v>187</v>
      </c>
      <c r="B97" s="34" t="s">
        <v>188</v>
      </c>
      <c r="C97" s="14">
        <v>42741</v>
      </c>
      <c r="D97" s="14"/>
      <c r="E97" s="19"/>
      <c r="F97" t="str">
        <f t="shared" si="1"/>
        <v>92 - Ajuste en Vales de ropa Gravado</v>
      </c>
    </row>
    <row r="98" spans="1:6" x14ac:dyDescent="0.25">
      <c r="A98" s="36" t="s">
        <v>189</v>
      </c>
      <c r="B98" s="34" t="s">
        <v>190</v>
      </c>
      <c r="C98" s="14">
        <v>42741</v>
      </c>
      <c r="D98" s="14"/>
      <c r="E98" s="19"/>
      <c r="F98" t="str">
        <f t="shared" si="1"/>
        <v>93 - Ajuste en Ayuda para renta Gravado</v>
      </c>
    </row>
    <row r="99" spans="1:6" x14ac:dyDescent="0.25">
      <c r="A99" s="36" t="s">
        <v>191</v>
      </c>
      <c r="B99" s="34" t="s">
        <v>192</v>
      </c>
      <c r="C99" s="14">
        <v>42741</v>
      </c>
      <c r="D99" s="14"/>
      <c r="E99" s="19"/>
      <c r="F99" t="str">
        <f t="shared" si="1"/>
        <v>94 - Ajuste en Ayuda para artículos escolares Gravado</v>
      </c>
    </row>
    <row r="100" spans="1:6" x14ac:dyDescent="0.25">
      <c r="A100" s="36" t="s">
        <v>193</v>
      </c>
      <c r="B100" s="34" t="s">
        <v>194</v>
      </c>
      <c r="C100" s="14">
        <v>42741</v>
      </c>
      <c r="D100" s="14"/>
      <c r="E100" s="19"/>
      <c r="F100" t="str">
        <f t="shared" si="1"/>
        <v>95 - Ajuste en Ayuda para anteojos Gravado</v>
      </c>
    </row>
    <row r="101" spans="1:6" x14ac:dyDescent="0.25">
      <c r="A101" s="36" t="s">
        <v>195</v>
      </c>
      <c r="B101" s="34" t="s">
        <v>196</v>
      </c>
      <c r="C101" s="14">
        <v>42741</v>
      </c>
      <c r="D101" s="14"/>
      <c r="E101" s="19"/>
      <c r="F101" t="str">
        <f t="shared" si="1"/>
        <v>96 - Ajuste en Ayuda para transporte Gravado</v>
      </c>
    </row>
    <row r="102" spans="1:6" x14ac:dyDescent="0.25">
      <c r="A102" s="36" t="s">
        <v>197</v>
      </c>
      <c r="B102" s="34" t="s">
        <v>198</v>
      </c>
      <c r="C102" s="14">
        <v>42741</v>
      </c>
      <c r="D102" s="14"/>
      <c r="E102" s="19"/>
      <c r="F102" t="str">
        <f t="shared" si="1"/>
        <v>97 - Ajuste en Ayuda para gastos de funeral Gravado</v>
      </c>
    </row>
    <row r="103" spans="1:6" x14ac:dyDescent="0.25">
      <c r="A103" s="36" t="s">
        <v>199</v>
      </c>
      <c r="B103" s="34" t="s">
        <v>200</v>
      </c>
      <c r="C103" s="14">
        <v>42741</v>
      </c>
      <c r="D103" s="14"/>
      <c r="E103" s="19"/>
      <c r="F103" t="str">
        <f t="shared" si="1"/>
        <v>98 - Ajuste a ingresos asimilados a salarios gravados</v>
      </c>
    </row>
    <row r="104" spans="1:6" x14ac:dyDescent="0.25">
      <c r="A104" s="36" t="s">
        <v>201</v>
      </c>
      <c r="B104" s="34" t="s">
        <v>202</v>
      </c>
      <c r="C104" s="14">
        <v>42741</v>
      </c>
      <c r="D104" s="14"/>
      <c r="E104" s="19"/>
      <c r="F104" t="str">
        <f t="shared" si="1"/>
        <v>99 - Ajuste a ingresos por sueldos y salarios gravados</v>
      </c>
    </row>
    <row r="105" spans="1:6" x14ac:dyDescent="0.25">
      <c r="A105" s="36">
        <v>100</v>
      </c>
      <c r="B105" s="34" t="s">
        <v>203</v>
      </c>
      <c r="C105" s="14">
        <v>42741</v>
      </c>
      <c r="D105" s="14"/>
      <c r="E105" s="19"/>
      <c r="F105" t="str">
        <f t="shared" si="1"/>
        <v>100 - Ajuste en Viáticos exentos</v>
      </c>
    </row>
    <row r="106" spans="1:6" x14ac:dyDescent="0.25">
      <c r="A106" s="36">
        <v>101</v>
      </c>
      <c r="B106" s="34" t="s">
        <v>204</v>
      </c>
      <c r="C106" s="14">
        <v>43074</v>
      </c>
      <c r="D106" s="14"/>
      <c r="E106" s="19"/>
      <c r="F106" t="str">
        <f t="shared" si="1"/>
        <v>101 - ISR Retenido de ejercicio anterior</v>
      </c>
    </row>
    <row r="107" spans="1:6" x14ac:dyDescent="0.25">
      <c r="A107" s="26">
        <v>102</v>
      </c>
      <c r="B107" s="23" t="s">
        <v>205</v>
      </c>
      <c r="C107" s="14">
        <v>43388</v>
      </c>
      <c r="D107" s="37"/>
      <c r="E107" s="19"/>
      <c r="F107" t="str">
        <f t="shared" si="1"/>
        <v>102 - Ajuste a pagos por gratificaciones, primas, compensaciones, recompensas u otros a extrabajadores derivados de jubilación en parcialidades, gravados</v>
      </c>
    </row>
    <row r="108" spans="1:6" x14ac:dyDescent="0.25">
      <c r="A108" s="26">
        <v>103</v>
      </c>
      <c r="B108" s="23" t="s">
        <v>206</v>
      </c>
      <c r="C108" s="14">
        <v>43388</v>
      </c>
      <c r="D108" s="37"/>
      <c r="E108" s="19"/>
      <c r="F108" t="str">
        <f t="shared" si="1"/>
        <v>103 - Ajuste a pagos que se realicen a extrabajadores que obtengan una jubilación en parcialidades derivados de la ejecución de una resolución judicial o de un laudo gravados</v>
      </c>
    </row>
    <row r="109" spans="1:6" x14ac:dyDescent="0.25">
      <c r="A109" s="26">
        <v>104</v>
      </c>
      <c r="B109" s="23" t="s">
        <v>207</v>
      </c>
      <c r="C109" s="14">
        <v>43388</v>
      </c>
      <c r="D109" s="37"/>
      <c r="E109" s="19"/>
      <c r="F109" t="str">
        <f t="shared" si="1"/>
        <v>104 - Ajuste a pagos que se realicen a extrabajadores que obtengan una jubilación en parcialidades derivados de la ejecución de una resolución judicial o de un laudo exentos</v>
      </c>
    </row>
    <row r="110" spans="1:6" x14ac:dyDescent="0.25">
      <c r="A110" s="26">
        <v>105</v>
      </c>
      <c r="B110" s="23" t="s">
        <v>208</v>
      </c>
      <c r="C110" s="14">
        <v>43388</v>
      </c>
      <c r="D110" s="37"/>
      <c r="E110" s="19"/>
      <c r="F110" t="str">
        <f t="shared" si="1"/>
        <v>105 - Ajuste a pagos que se realicen a extrabajadores que obtengan una jubilación en una sola exhibición derivados de la ejecución de una resolución judicial o de un laudo gravados</v>
      </c>
    </row>
    <row r="111" spans="1:6" x14ac:dyDescent="0.25">
      <c r="A111" s="26">
        <v>106</v>
      </c>
      <c r="B111" s="23" t="s">
        <v>209</v>
      </c>
      <c r="C111" s="14">
        <v>43388</v>
      </c>
      <c r="D111" s="37"/>
      <c r="E111" s="19"/>
      <c r="F111" t="str">
        <f t="shared" si="1"/>
        <v>106 - Ajuste a pagos que se realicen a extrabajadores que obtengan una jubilación en una sola exhibición derivados de la ejecución de una resolución judicial o de un laudo exentos</v>
      </c>
    </row>
    <row r="112" spans="1:6" x14ac:dyDescent="0.25">
      <c r="A112" s="26">
        <v>107</v>
      </c>
      <c r="B112" s="37" t="s">
        <v>210</v>
      </c>
      <c r="C112" s="27">
        <v>43831</v>
      </c>
      <c r="D112" s="37"/>
      <c r="E112" s="19"/>
      <c r="F112" t="str">
        <f t="shared" si="1"/>
        <v xml:space="preserve">107 - Ajuste al Subsidio Causado 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8F83A-D83D-4CC3-9C46-1FB670DFE456}">
  <dimension ref="A1:F15"/>
  <sheetViews>
    <sheetView workbookViewId="0">
      <selection activeCell="B19" sqref="B19"/>
    </sheetView>
  </sheetViews>
  <sheetFormatPr baseColWidth="10" defaultRowHeight="15" x14ac:dyDescent="0.25"/>
  <cols>
    <col min="1" max="1" width="17" bestFit="1" customWidth="1"/>
    <col min="2" max="2" width="113.5703125" customWidth="1"/>
    <col min="3" max="3" width="23.42578125" bestFit="1" customWidth="1"/>
    <col min="4" max="4" width="20.7109375" bestFit="1" customWidth="1"/>
  </cols>
  <sheetData>
    <row r="1" spans="1:6" ht="15.75" thickBot="1" x14ac:dyDescent="0.3">
      <c r="A1" s="87" t="s">
        <v>211</v>
      </c>
      <c r="B1" s="87"/>
      <c r="C1" s="19"/>
      <c r="D1" s="19"/>
    </row>
    <row r="2" spans="1:6" ht="15.75" thickBot="1" x14ac:dyDescent="0.3">
      <c r="A2" s="17" t="s">
        <v>35</v>
      </c>
      <c r="B2" s="17" t="s">
        <v>36</v>
      </c>
      <c r="C2" s="17" t="s">
        <v>37</v>
      </c>
      <c r="D2" s="19"/>
    </row>
    <row r="3" spans="1:6" x14ac:dyDescent="0.25">
      <c r="A3" s="28">
        <v>4</v>
      </c>
      <c r="B3" s="18">
        <v>0</v>
      </c>
      <c r="C3" s="29">
        <v>43938</v>
      </c>
      <c r="D3" s="19"/>
    </row>
    <row r="4" spans="1:6" ht="15.75" thickBot="1" x14ac:dyDescent="0.3">
      <c r="A4" s="19"/>
      <c r="B4" s="19"/>
      <c r="C4" s="19"/>
      <c r="D4" s="19"/>
    </row>
    <row r="5" spans="1:6" ht="15.75" thickBot="1" x14ac:dyDescent="0.3">
      <c r="A5" s="39" t="s">
        <v>212</v>
      </c>
      <c r="B5" s="20" t="s">
        <v>39</v>
      </c>
      <c r="C5" s="17" t="s">
        <v>40</v>
      </c>
      <c r="D5" s="17" t="s">
        <v>41</v>
      </c>
    </row>
    <row r="6" spans="1:6" x14ac:dyDescent="0.25">
      <c r="A6" s="15">
        <v>1</v>
      </c>
      <c r="B6" s="21" t="s">
        <v>213</v>
      </c>
      <c r="C6" s="29">
        <v>42736</v>
      </c>
      <c r="D6" s="38"/>
      <c r="F6" t="str">
        <f>VALUE(A6) &amp; " - " &amp; B6</f>
        <v>1 - Reintegro de ISR pagado en exceso (siempre que no haya sido enterado al SAT).</v>
      </c>
    </row>
    <row r="7" spans="1:6" x14ac:dyDescent="0.25">
      <c r="A7" s="15">
        <v>2</v>
      </c>
      <c r="B7" s="21" t="s">
        <v>214</v>
      </c>
      <c r="C7" s="29">
        <v>42736</v>
      </c>
      <c r="D7" s="38"/>
      <c r="F7" t="str">
        <f t="shared" ref="F7:F15" si="0">VALUE(A7) &amp; " - " &amp; B7</f>
        <v>2 - Subsidio para el empleo (efectivamente entregado al trabajador).</v>
      </c>
    </row>
    <row r="8" spans="1:6" x14ac:dyDescent="0.25">
      <c r="A8" s="15">
        <v>3</v>
      </c>
      <c r="B8" s="21" t="s">
        <v>215</v>
      </c>
      <c r="C8" s="29">
        <v>42736</v>
      </c>
      <c r="D8" s="38"/>
      <c r="F8" t="str">
        <f t="shared" si="0"/>
        <v>3 - Viáticos (entregados al trabajador).</v>
      </c>
    </row>
    <row r="9" spans="1:6" x14ac:dyDescent="0.25">
      <c r="A9" s="15">
        <v>4</v>
      </c>
      <c r="B9" s="21" t="s">
        <v>216</v>
      </c>
      <c r="C9" s="29">
        <v>42736</v>
      </c>
      <c r="D9" s="38"/>
      <c r="F9" t="str">
        <f t="shared" si="0"/>
        <v>4 - Aplicación de saldo a favor por compensación anual.</v>
      </c>
    </row>
    <row r="10" spans="1:6" x14ac:dyDescent="0.25">
      <c r="A10" s="15">
        <v>5</v>
      </c>
      <c r="B10" s="21" t="s">
        <v>217</v>
      </c>
      <c r="C10" s="29">
        <v>43074</v>
      </c>
      <c r="D10" s="38"/>
      <c r="F10" t="str">
        <f t="shared" si="0"/>
        <v>5 - Reintegro de ISR retenido en exceso de ejercicio anterior (siempre que no haya sido enterado al SAT).</v>
      </c>
    </row>
    <row r="11" spans="1:6" x14ac:dyDescent="0.25">
      <c r="A11" s="15">
        <v>6</v>
      </c>
      <c r="B11" s="21" t="s">
        <v>218</v>
      </c>
      <c r="C11" s="27">
        <v>43831</v>
      </c>
      <c r="D11" s="38"/>
      <c r="F11" t="str">
        <f t="shared" si="0"/>
        <v>6 - Alimentos en bienes (Servicios de comedor y comida) Art 94 último párrafo LISR.</v>
      </c>
    </row>
    <row r="12" spans="1:6" x14ac:dyDescent="0.25">
      <c r="A12" s="15">
        <v>7</v>
      </c>
      <c r="B12" s="21" t="s">
        <v>219</v>
      </c>
      <c r="C12" s="27">
        <v>43831</v>
      </c>
      <c r="D12" s="38"/>
      <c r="F12" t="str">
        <f t="shared" si="0"/>
        <v>7 - ISR ajustado por subsidio.</v>
      </c>
    </row>
    <row r="13" spans="1:6" x14ac:dyDescent="0.25">
      <c r="A13" s="15">
        <v>8</v>
      </c>
      <c r="B13" s="21" t="s">
        <v>220</v>
      </c>
      <c r="C13" s="27">
        <v>43831</v>
      </c>
      <c r="D13" s="38"/>
      <c r="F13" t="str">
        <f t="shared" si="0"/>
        <v>8 - Subsidio efectivamente entregado que no correspondía (Aplica sólo cuando haya ajuste al cierre de mes en relación con el Apéndice 7 de la guía de llenado de nómina).</v>
      </c>
    </row>
    <row r="14" spans="1:6" x14ac:dyDescent="0.25">
      <c r="A14" s="15">
        <v>9</v>
      </c>
      <c r="B14" s="21" t="s">
        <v>221</v>
      </c>
      <c r="C14" s="27">
        <v>43941</v>
      </c>
      <c r="D14" s="38"/>
      <c r="F14" t="str">
        <f t="shared" si="0"/>
        <v>9 - Reembolso de descuentos efectuados para el crédito de vivienda.</v>
      </c>
    </row>
    <row r="15" spans="1:6" x14ac:dyDescent="0.25">
      <c r="A15" s="15">
        <v>999</v>
      </c>
      <c r="B15" s="21" t="s">
        <v>222</v>
      </c>
      <c r="C15" s="29">
        <v>42736</v>
      </c>
      <c r="D15" s="38"/>
      <c r="F15" t="str">
        <f t="shared" si="0"/>
        <v>999 - Pagos distintos a los listados y que no deben considerarse como ingreso por sueldos, salarios o ingresos asimilados.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B6C07-4C11-4E3B-A6A8-42776ECFCA33}">
  <dimension ref="A1:F9"/>
  <sheetViews>
    <sheetView workbookViewId="0">
      <selection activeCell="G15" sqref="G15"/>
    </sheetView>
  </sheetViews>
  <sheetFormatPr baseColWidth="10" defaultRowHeight="15" x14ac:dyDescent="0.25"/>
  <cols>
    <col min="1" max="1" width="23.42578125" bestFit="1" customWidth="1"/>
    <col min="2" max="2" width="65.140625" bestFit="1" customWidth="1"/>
    <col min="3" max="3" width="8" bestFit="1" customWidth="1"/>
    <col min="4" max="4" width="9" bestFit="1" customWidth="1"/>
  </cols>
  <sheetData>
    <row r="1" spans="1:6" ht="15.75" thickBot="1" x14ac:dyDescent="0.3">
      <c r="A1" s="84" t="s">
        <v>223</v>
      </c>
      <c r="B1" s="84"/>
      <c r="C1" s="84"/>
      <c r="D1" s="19"/>
    </row>
    <row r="2" spans="1:6" ht="15.75" thickBot="1" x14ac:dyDescent="0.3">
      <c r="A2" s="17" t="s">
        <v>40</v>
      </c>
      <c r="B2" s="17" t="s">
        <v>41</v>
      </c>
      <c r="C2" s="17" t="s">
        <v>35</v>
      </c>
      <c r="D2" s="17" t="s">
        <v>36</v>
      </c>
    </row>
    <row r="3" spans="1:6" x14ac:dyDescent="0.25">
      <c r="A3" s="29">
        <v>43831</v>
      </c>
      <c r="B3" s="38"/>
      <c r="C3" s="28">
        <v>2</v>
      </c>
      <c r="D3" s="18">
        <v>0</v>
      </c>
    </row>
    <row r="4" spans="1:6" ht="15.75" thickBot="1" x14ac:dyDescent="0.3">
      <c r="A4" s="19"/>
      <c r="B4" s="19"/>
      <c r="C4" s="19"/>
      <c r="D4" s="19"/>
    </row>
    <row r="5" spans="1:6" x14ac:dyDescent="0.25">
      <c r="A5" s="41" t="s">
        <v>224</v>
      </c>
      <c r="B5" s="41" t="s">
        <v>39</v>
      </c>
      <c r="C5" s="19"/>
      <c r="D5" s="19"/>
    </row>
    <row r="6" spans="1:6" x14ac:dyDescent="0.25">
      <c r="A6" s="42">
        <v>1</v>
      </c>
      <c r="B6" s="21" t="s">
        <v>228</v>
      </c>
      <c r="C6" s="19"/>
      <c r="D6" s="19"/>
      <c r="F6" t="str">
        <f>VALUE(A6) &amp; " - "  &amp; B6</f>
        <v>1 - Riesgo de trabajo</v>
      </c>
    </row>
    <row r="7" spans="1:6" x14ac:dyDescent="0.25">
      <c r="A7" s="42">
        <v>2</v>
      </c>
      <c r="B7" s="21" t="s">
        <v>229</v>
      </c>
      <c r="C7" s="19"/>
      <c r="D7" s="19"/>
      <c r="F7" t="str">
        <f t="shared" ref="F7:F9" si="0">VALUE(A7) &amp; " - "  &amp; B7</f>
        <v>2 - Enfermedad en general</v>
      </c>
    </row>
    <row r="8" spans="1:6" x14ac:dyDescent="0.25">
      <c r="A8" s="42">
        <v>3</v>
      </c>
      <c r="B8" s="21" t="s">
        <v>230</v>
      </c>
      <c r="C8" s="19"/>
      <c r="D8" s="19"/>
      <c r="F8" t="str">
        <f t="shared" si="0"/>
        <v>3 - Maternidad</v>
      </c>
    </row>
    <row r="9" spans="1:6" x14ac:dyDescent="0.25">
      <c r="A9" s="40" t="s">
        <v>225</v>
      </c>
      <c r="B9" s="37" t="s">
        <v>231</v>
      </c>
      <c r="C9" s="19"/>
      <c r="D9" s="19"/>
      <c r="F9" t="str">
        <f t="shared" si="0"/>
        <v>4 - Licencia por cuidados médicos de hijos diagnosticados con cáncer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Timbrado</vt:lpstr>
      <vt:lpstr>Percepciones</vt:lpstr>
      <vt:lpstr>Deducciones</vt:lpstr>
      <vt:lpstr>TipoOtroPago</vt:lpstr>
      <vt:lpstr>TipoIncapacidad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Joaquín Candia</cp:lastModifiedBy>
  <dcterms:created xsi:type="dcterms:W3CDTF">2020-10-06T22:32:22Z</dcterms:created>
  <dcterms:modified xsi:type="dcterms:W3CDTF">2026-01-08T19:03:09Z</dcterms:modified>
</cp:coreProperties>
</file>